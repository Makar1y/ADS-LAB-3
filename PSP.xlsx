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FF" sheetId="1" state="visible" r:id="rId3"/>
    <sheet name="PDF" sheetId="2" state="visible" r:id="rId4"/>
    <sheet name="DVF" sheetId="3" state="visible" r:id="rId5"/>
    <sheet name="PPS" sheetId="4" state="visible" r:id="rId6"/>
    <sheet name="DTS" sheetId="5" state="visible" r:id="rId7"/>
    <sheet name="DFF" sheetId="6" state="visible" r:id="rId8"/>
  </sheets>
  <definedNames>
    <definedName function="false" hidden="false" localSheetId="5" name="_xlnm.Print_Area" vbProcedure="false">DFF!$A:$H</definedName>
    <definedName function="false" hidden="false" localSheetId="4" name="_xlnm.Print_Area" vbProcedure="false">DTS!$A$1:$D$18</definedName>
    <definedName function="false" hidden="false" localSheetId="2" name="_xlnm.Print_Area" vbProcedure="false">DVF!$B:$I</definedName>
    <definedName function="false" hidden="true" localSheetId="0" name="_xlnm._FilterDatabase" vbProcedure="false">LFF!$A$1:$A$495</definedName>
    <definedName function="false" hidden="false" localSheetId="1" name="_xlnm.Print_Area" vbProcedure="false">PDF!$B:$G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PDF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4</xdr:row>
                <xdr:rowOff>29</xdr:rowOff>
              </xdr:from>
              <xdr:to>
                <xdr:col>4</xdr:col>
                <xdr:colOff>34</xdr:colOff>
                <xdr:row>7</xdr:row>
                <xdr:rowOff>17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9</xdr:row>
                <xdr:rowOff>17</xdr:rowOff>
              </xdr:from>
              <xdr:to>
                <xdr:col>4</xdr:col>
                <xdr:colOff>35</xdr:colOff>
                <xdr:row>12</xdr:row>
                <xdr:rowOff>14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10</xdr:row>
                <xdr:rowOff>17</xdr:rowOff>
              </xdr:from>
              <xdr:to>
                <xdr:col>4</xdr:col>
                <xdr:colOff>35</xdr:colOff>
                <xdr:row>13</xdr:row>
                <xdr:rowOff>14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11</xdr:row>
                <xdr:rowOff>17</xdr:rowOff>
              </xdr:from>
              <xdr:to>
                <xdr:col>4</xdr:col>
                <xdr:colOff>35</xdr:colOff>
                <xdr:row>14</xdr:row>
                <xdr:rowOff>14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13</xdr:row>
                <xdr:rowOff>17</xdr:rowOff>
              </xdr:from>
              <xdr:to>
                <xdr:col>4</xdr:col>
                <xdr:colOff>35</xdr:colOff>
                <xdr:row>15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14</xdr:row>
                <xdr:rowOff>17</xdr:rowOff>
              </xdr:from>
              <xdr:to>
                <xdr:col>4</xdr:col>
                <xdr:colOff>35</xdr:colOff>
                <xdr:row>16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15</xdr:row>
                <xdr:rowOff>17</xdr:rowOff>
              </xdr:from>
              <xdr:to>
                <xdr:col>4</xdr:col>
                <xdr:colOff>35</xdr:colOff>
                <xdr:row>17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16</xdr:row>
                <xdr:rowOff>18</xdr:rowOff>
              </xdr:from>
              <xdr:to>
                <xdr:col>4</xdr:col>
                <xdr:colOff>35</xdr:colOff>
                <xdr:row>18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17</xdr:row>
                <xdr:rowOff>17</xdr:rowOff>
              </xdr:from>
              <xdr:to>
                <xdr:col>4</xdr:col>
                <xdr:colOff>35</xdr:colOff>
                <xdr:row>19</xdr:row>
                <xdr:rowOff>13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18</xdr:row>
                <xdr:rowOff>17</xdr:rowOff>
              </xdr:from>
              <xdr:to>
                <xdr:col>4</xdr:col>
                <xdr:colOff>35</xdr:colOff>
                <xdr:row>20</xdr:row>
                <xdr:rowOff>13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19</xdr:row>
                <xdr:rowOff>17</xdr:rowOff>
              </xdr:from>
              <xdr:to>
                <xdr:col>4</xdr:col>
                <xdr:colOff>35</xdr:colOff>
                <xdr:row>21</xdr:row>
                <xdr:rowOff>14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Suplanuota projekto trukmė </t>
        </r>
        <r>
          <rPr>
            <b val="true"/>
            <i val="true"/>
            <sz val="8"/>
            <color rgb="FF000000"/>
            <rFont val="Tahoma"/>
            <family val="2"/>
            <charset val="1"/>
          </rPr>
          <t xml:space="preserve">Viso </t>
        </r>
        <r>
          <rPr>
            <sz val="8"/>
            <color rgb="FF000000"/>
            <rFont val="Tahoma"/>
            <family val="2"/>
            <charset val="1"/>
          </rPr>
          <t xml:space="preserve">turi sutapti su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Apskaičiuotas laikas </t>
        </r>
        <r>
          <rPr>
            <sz val="8"/>
            <color rgb="FF000000"/>
            <rFont val="Tahoma"/>
            <family val="2"/>
            <charset val="1"/>
          </rPr>
          <t xml:space="preserve">reikšme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20</xdr:row>
                <xdr:rowOff>17</xdr:rowOff>
              </xdr:from>
              <xdr:to>
                <xdr:col>4</xdr:col>
                <xdr:colOff>35</xdr:colOff>
                <xdr:row>25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<sst xmlns="http://schemas.openxmlformats.org/spreadsheetml/2006/main" count="262" uniqueCount="149">
  <si>
    <t xml:space="preserve">Data</t>
  </si>
  <si>
    <t xml:space="preserve">Nuo</t>
  </si>
  <si>
    <t xml:space="preserve">Iki</t>
  </si>
  <si>
    <t xml:space="preserve">Laikas</t>
  </si>
  <si>
    <t xml:space="preserve">Veikla</t>
  </si>
  <si>
    <t xml:space="preserve">Trukdžiai</t>
  </si>
  <si>
    <t xml:space="preserve">Komentaras</t>
  </si>
  <si>
    <t xml:space="preserve">09:00:00</t>
  </si>
  <si>
    <t xml:space="preserve">09:30:00</t>
  </si>
  <si>
    <t xml:space="preserve">00:30:00</t>
  </si>
  <si>
    <t xml:space="preserve">Skaitymas</t>
  </si>
  <si>
    <t xml:space="preserve">Uzduoties ir pateiktu ADT analize (deque, BigInteger)</t>
  </si>
  <si>
    <t xml:space="preserve">10:00:00</t>
  </si>
  <si>
    <t xml:space="preserve">Projektavimas</t>
  </si>
  <si>
    <t xml:space="preserve">Integracijos planas: parametrai, modeliavimo struktura, moduliu suderinimas</t>
  </si>
  <si>
    <t xml:space="preserve">11:00:00</t>
  </si>
  <si>
    <t xml:space="preserve">01:00:00</t>
  </si>
  <si>
    <t xml:space="preserve">Programavimas (kodavimas)</t>
  </si>
  <si>
    <t xml:space="preserve">Coding (ADS LAB3): params.h; params.c; simulation.h</t>
  </si>
  <si>
    <t xml:space="preserve">11:30:00</t>
  </si>
  <si>
    <t xml:space="preserve">Testavimas</t>
  </si>
  <si>
    <t xml:space="preserve">Pradinis kompiliavimo patikrinimas su esamais moduliais</t>
  </si>
  <si>
    <t xml:space="preserve">13:00:00</t>
  </si>
  <si>
    <t xml:space="preserve">14:00:00</t>
  </si>
  <si>
    <t xml:space="preserve">Coding (ADS LAB3): Makefile</t>
  </si>
  <si>
    <t xml:space="preserve">15:00:00</t>
  </si>
  <si>
    <t xml:space="preserve">Coding (ADS LAB3): bigint_compat.h</t>
  </si>
  <si>
    <t xml:space="preserve">16:00:00</t>
  </si>
  <si>
    <t xml:space="preserve">16:15:00</t>
  </si>
  <si>
    <t xml:space="preserve">00:15:00</t>
  </si>
  <si>
    <t xml:space="preserve">Programos strukturos ir dokumentacijos tikslinimas</t>
  </si>
  <si>
    <t xml:space="preserve">Coding (ADS LAB3): main.c; params.h; params.c; simulation.h; simulation.c; Makefile</t>
  </si>
  <si>
    <t xml:space="preserve">12:00:00</t>
  </si>
  <si>
    <t xml:space="preserve">13:20:00</t>
  </si>
  <si>
    <t xml:space="preserve">00:20:00</t>
  </si>
  <si>
    <t xml:space="preserve">Testing (ADS LAB3): PriemimoKomisija; PriemimoKomisija.cfg</t>
  </si>
  <si>
    <t xml:space="preserve">00:40:00</t>
  </si>
  <si>
    <t xml:space="preserve">Peržiura</t>
  </si>
  <si>
    <t xml:space="preserve">Modeliavimo logikos ir rezultatu formato perziura</t>
  </si>
  <si>
    <t xml:space="preserve">PSP veikla</t>
  </si>
  <si>
    <t xml:space="preserve">Filling PSP for ADS LAB3</t>
  </si>
  <si>
    <t xml:space="preserve">Grupė:</t>
  </si>
  <si>
    <t xml:space="preserve">Data:</t>
  </si>
  <si>
    <t xml:space="preserve">Studentas:</t>
  </si>
  <si>
    <t xml:space="preserve">Makariy Sinyavskiy</t>
  </si>
  <si>
    <t xml:space="preserve">Programavimo kalba:</t>
  </si>
  <si>
    <t xml:space="preserve">C</t>
  </si>
  <si>
    <t xml:space="preserve">Programa</t>
  </si>
  <si>
    <t xml:space="preserve">Laikas (min)</t>
  </si>
  <si>
    <t xml:space="preserve">Dydis (ES)</t>
  </si>
  <si>
    <t xml:space="preserve">Min/ES</t>
  </si>
  <si>
    <t xml:space="preserve">Funkcijos</t>
  </si>
  <si>
    <t xml:space="preserve">ADS-LAB3</t>
  </si>
  <si>
    <t xml:space="preserve">Parametru skaitimas, simuliacija, rezultatu išvedimas, ...</t>
  </si>
  <si>
    <t xml:space="preserve">Kuriama programa:</t>
  </si>
  <si>
    <t xml:space="preserve">Realizuota funkcija</t>
  </si>
  <si>
    <t xml:space="preserve">Vertinama funkcija</t>
  </si>
  <si>
    <t xml:space="preserve">Min</t>
  </si>
  <si>
    <t xml:space="preserve">Vid.</t>
  </si>
  <si>
    <t xml:space="preserve">Max</t>
  </si>
  <si>
    <t xml:space="preserve">hasSuffix</t>
  </si>
  <si>
    <t xml:space="preserve">Žodziu paliginimas su salyga</t>
  </si>
  <si>
    <t xml:space="preserve">buildDefaultConfigPath</t>
  </si>
  <si>
    <t xml:space="preserve">Žodžio pakeitimas su salyga</t>
  </si>
  <si>
    <t xml:space="preserve">printUsage</t>
  </si>
  <si>
    <t xml:space="preserve">Režultatu išvedimas</t>
  </si>
  <si>
    <t xml:space="preserve">readParamsFile</t>
  </si>
  <si>
    <t xml:space="preserve">Parametru nuskaytimas</t>
  </si>
  <si>
    <t xml:space="preserve">validateParams</t>
  </si>
  <si>
    <t xml:space="preserve">Patikrinimas ar korektiški duomenys</t>
  </si>
  <si>
    <t xml:space="preserve">createBigIntegerFromUnsigned</t>
  </si>
  <si>
    <t xml:space="preserve">Pagalbine funkcija papilditi moduliu funkcualuma</t>
  </si>
  <si>
    <t xml:space="preserve">addUnsignedToBigInteger</t>
  </si>
  <si>
    <t xml:space="preserve">initResult</t>
  </si>
  <si>
    <t xml:space="preserve">Inicializacijos funkcija</t>
  </si>
  <si>
    <t xml:space="preserve">freeBigIntegerFields</t>
  </si>
  <si>
    <t xml:space="preserve">Atminties atlaisvinimo funkcija</t>
  </si>
  <si>
    <t xml:space="preserve">runSimulation</t>
  </si>
  <si>
    <t xml:space="preserve">Pagrindine programos funkcija</t>
  </si>
  <si>
    <t xml:space="preserve">freeSimulationResult</t>
  </si>
  <si>
    <t xml:space="preserve">printBigIntegerLine</t>
  </si>
  <si>
    <t xml:space="preserve">Pagalbine formatavimo funkcija</t>
  </si>
  <si>
    <t xml:space="preserve">printSimulationResult</t>
  </si>
  <si>
    <t xml:space="preserve">Funkcija rezultatu išvedimui</t>
  </si>
  <si>
    <t xml:space="preserve">assignIdleWorker</t>
  </si>
  <si>
    <t xml:space="preserve">Pagalbine funkcija pagrindiniai programos f-ai</t>
  </si>
  <si>
    <t xml:space="preserve">Bendras įvertinimas</t>
  </si>
  <si>
    <t xml:space="preserve">Komentarai:</t>
  </si>
  <si>
    <t xml:space="preserve">Projekto plano suvestinė</t>
  </si>
  <si>
    <t xml:space="preserve">Programa:</t>
  </si>
  <si>
    <t xml:space="preserve">Trumpas programos apibūdinimas:</t>
  </si>
  <si>
    <t xml:space="preserve">Priemimo komisijos simuliacija</t>
  </si>
  <si>
    <t xml:space="preserve">Produktyvumas</t>
  </si>
  <si>
    <t xml:space="preserve">Planas</t>
  </si>
  <si>
    <t xml:space="preserve">Faktas</t>
  </si>
  <si>
    <t xml:space="preserve">Iki šiol</t>
  </si>
  <si>
    <t xml:space="preserve">ES/Val</t>
  </si>
  <si>
    <t xml:space="preserve">Programos dydis (ES)</t>
  </si>
  <si>
    <t xml:space="preserve">Viso (Naujos+Keistos)</t>
  </si>
  <si>
    <t xml:space="preserve">Maksimalus dydis</t>
  </si>
  <si>
    <t xml:space="preserve">Minimalus dydis</t>
  </si>
  <si>
    <t xml:space="preserve">Laikas (min.)</t>
  </si>
  <si>
    <t xml:space="preserve">Iki šiol %</t>
  </si>
  <si>
    <t xml:space="preserve">Planavimas</t>
  </si>
  <si>
    <t xml:space="preserve">Kodavimas</t>
  </si>
  <si>
    <t xml:space="preserve">Peržiūra</t>
  </si>
  <si>
    <t xml:space="preserve">Kompiliavimas</t>
  </si>
  <si>
    <t xml:space="preserve">"Aptarimas"</t>
  </si>
  <si>
    <t xml:space="preserve">Viso:</t>
  </si>
  <si>
    <t xml:space="preserve">Apskaičiuotas laikas:</t>
  </si>
  <si>
    <t xml:space="preserve">Maksimalus laikas:</t>
  </si>
  <si>
    <t xml:space="preserve">Minimalus laikas:</t>
  </si>
  <si>
    <t xml:space="preserve">Padaryti defektai</t>
  </si>
  <si>
    <t xml:space="preserve">-</t>
  </si>
  <si>
    <t xml:space="preserve">Viso kūrimo metu:</t>
  </si>
  <si>
    <t xml:space="preserve">Pašalinti defektai</t>
  </si>
  <si>
    <t xml:space="preserve">Po kūrimo</t>
  </si>
  <si>
    <t xml:space="preserve">Defektų tipų standartas</t>
  </si>
  <si>
    <t xml:space="preserve">Tipo numeris</t>
  </si>
  <si>
    <t xml:space="preserve">Tipo pavadinimas</t>
  </si>
  <si>
    <t xml:space="preserve">Aprašas</t>
  </si>
  <si>
    <t xml:space="preserve">Dokumentavimas</t>
  </si>
  <si>
    <t xml:space="preserve">komentarai, pranešimai, standartas</t>
  </si>
  <si>
    <t xml:space="preserve">Sintaksė</t>
  </si>
  <si>
    <t xml:space="preserve">sintaksinės klaidos</t>
  </si>
  <si>
    <t xml:space="preserve">Versijavimas</t>
  </si>
  <si>
    <t xml:space="preserve">pakeitimų valdymas, versijų kontrolė</t>
  </si>
  <si>
    <t xml:space="preserve">Vardai</t>
  </si>
  <si>
    <t xml:space="preserve">aprašai, vienodi vardai, galiojimo sritis</t>
  </si>
  <si>
    <t xml:space="preserve">Interfeisas</t>
  </si>
  <si>
    <t xml:space="preserve">funkcijų/procedūrų iškvietimai, įvedimas-išvedimas, vartotojo formatai</t>
  </si>
  <si>
    <t xml:space="preserve">Kontrolė</t>
  </si>
  <si>
    <t xml:space="preserve">klaidų pranešimai, nepakankama kontrolė</t>
  </si>
  <si>
    <t xml:space="preserve">Duomenys</t>
  </si>
  <si>
    <t xml:space="preserve">duomenų struktūros ir turinys</t>
  </si>
  <si>
    <t xml:space="preserve">Funkcionalumas</t>
  </si>
  <si>
    <t xml:space="preserve">logika, rodyklės, ciklai, rekursija, skaičiavimai, funkcionalumo defektai</t>
  </si>
  <si>
    <t xml:space="preserve">Sistema</t>
  </si>
  <si>
    <t xml:space="preserve">konfigūracija, sinchronizavimas, atminties valdymas</t>
  </si>
  <si>
    <t xml:space="preserve">Aplinka</t>
  </si>
  <si>
    <t xml:space="preserve">aplinkos (projektavimo, kompiliavimo, testavimo ar kt.) problemos</t>
  </si>
  <si>
    <t xml:space="preserve">Radimo data</t>
  </si>
  <si>
    <t xml:space="preserve">Defekto numeris</t>
  </si>
  <si>
    <t xml:space="preserve">Defekto tipas</t>
  </si>
  <si>
    <t xml:space="preserve">Padarytas fazėje</t>
  </si>
  <si>
    <t xml:space="preserve">Pašalintas fazėje</t>
  </si>
  <si>
    <t xml:space="preserve">Taisymo laikas</t>
  </si>
  <si>
    <t xml:space="preserve">Taisant defektą</t>
  </si>
  <si>
    <t xml:space="preserve">Detalus defekto aprašas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</si>
</sst>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/mm\/yyyy"/>
    <numFmt numFmtId="166" formatCode="hh:mm:ss"/>
    <numFmt numFmtId="167" formatCode="#,##0.00"/>
    <numFmt numFmtId="168" formatCode="yyyy\-mm\-dd"/>
    <numFmt numFmtId="169" formatCode="[$-409]m/d/yyyy"/>
    <numFmt numFmtId="170" formatCode="0.00"/>
    <numFmt numFmtId="171" formatCode="0.00%"/>
    <numFmt numFmtId="172" formatCode="m/d/yyyy"/>
  </numFmts>
  <fonts count="23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DejaVu Sans"/>
      <family val="0"/>
      <charset val="1"/>
    </font>
    <font>
      <sz val="10"/>
      <name val="DejaVu Sans"/>
      <family val="0"/>
      <charset val="1"/>
    </font>
    <font>
      <sz val="10"/>
      <name val="DejaVu Sans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i val="true"/>
      <sz val="10"/>
      <name val="Arial"/>
      <family val="2"/>
      <charset val="1"/>
    </font>
    <font>
      <sz val="11"/>
      <name val="Arial"/>
      <family val="2"/>
      <charset val="1"/>
    </font>
    <font>
      <sz val="8"/>
      <color rgb="FF000000"/>
      <name val="Aptos Narrow"/>
      <family val="2"/>
      <charset val="1"/>
    </font>
    <font>
      <b val="true"/>
      <i val="true"/>
      <sz val="10"/>
      <name val="Arial"/>
      <family val="2"/>
      <charset val="1"/>
    </font>
    <font>
      <sz val="9"/>
      <name val="Arial"/>
      <family val="2"/>
      <charset val="1"/>
    </font>
    <font>
      <sz val="10"/>
      <name val="Arial"/>
      <family val="2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2"/>
      <charset val="1"/>
    </font>
    <font>
      <b val="true"/>
      <sz val="8"/>
      <color rgb="FF000000"/>
      <name val="Tahoma"/>
      <family val="2"/>
      <charset val="1"/>
    </font>
    <font>
      <sz val="8"/>
      <color rgb="FF000000"/>
      <name val="Tahoma"/>
      <family val="0"/>
      <charset val="1"/>
    </font>
    <font>
      <b val="true"/>
      <i val="true"/>
      <sz val="8"/>
      <color rgb="FF000000"/>
      <name val="Tahoma"/>
      <family val="2"/>
      <charset val="1"/>
    </font>
    <font>
      <i val="true"/>
      <sz val="8"/>
      <color rgb="FF000000"/>
      <name val="Tahoma"/>
      <family val="2"/>
      <charset val="1"/>
    </font>
    <font>
      <i val="true"/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4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0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5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4" fillId="0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5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5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2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ont>
        <name val="Aptos Narrow"/>
        <charset val="1"/>
        <family val="2"/>
        <color rgb="FFFF0000"/>
        <sz val="11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2.57"/>
    <col collapsed="false" customWidth="true" hidden="false" outlineLevel="0" max="2" min="2" style="1" width="11.71"/>
    <col collapsed="false" customWidth="true" hidden="false" outlineLevel="0" max="3" min="3" style="1" width="15.57"/>
    <col collapsed="false" customWidth="true" hidden="false" outlineLevel="0" max="4" min="4" style="1" width="17.57"/>
    <col collapsed="false" customWidth="true" hidden="false" outlineLevel="0" max="6" min="5" style="2" width="27.29"/>
    <col collapsed="false" customWidth="true" hidden="false" outlineLevel="0" max="7" min="7" style="2" width="115.85"/>
    <col collapsed="false" customWidth="true" hidden="false" outlineLevel="0" max="9" min="9" style="2" width="11.71"/>
    <col collapsed="false" customWidth="true" hidden="false" outlineLevel="0" max="18" min="15" style="2" width="27.2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I1" s="5"/>
      <c r="O1" s="5"/>
      <c r="P1" s="5"/>
      <c r="Q1" s="5"/>
      <c r="R1" s="5"/>
    </row>
    <row r="2" customFormat="false" ht="15" hidden="false" customHeight="false" outlineLevel="0" collapsed="false">
      <c r="A2" s="6" t="n">
        <v>46129</v>
      </c>
      <c r="B2" s="7" t="s">
        <v>7</v>
      </c>
      <c r="C2" s="7" t="s">
        <v>8</v>
      </c>
      <c r="D2" s="7" t="s">
        <v>9</v>
      </c>
      <c r="E2" s="8" t="s">
        <v>10</v>
      </c>
      <c r="F2" s="8"/>
      <c r="G2" s="8" t="s">
        <v>11</v>
      </c>
      <c r="I2" s="9"/>
      <c r="O2" s="10"/>
      <c r="P2" s="10"/>
      <c r="Q2" s="10"/>
      <c r="R2" s="11"/>
    </row>
    <row r="3" customFormat="false" ht="15" hidden="false" customHeight="false" outlineLevel="0" collapsed="false">
      <c r="A3" s="6" t="n">
        <v>46129</v>
      </c>
      <c r="B3" s="7" t="s">
        <v>8</v>
      </c>
      <c r="C3" s="7" t="s">
        <v>12</v>
      </c>
      <c r="D3" s="7" t="s">
        <v>9</v>
      </c>
      <c r="E3" s="8" t="s">
        <v>13</v>
      </c>
      <c r="F3" s="8"/>
      <c r="G3" s="8" t="s">
        <v>14</v>
      </c>
      <c r="I3" s="9"/>
      <c r="O3" s="10"/>
      <c r="P3" s="10"/>
      <c r="Q3" s="10"/>
      <c r="R3" s="11"/>
    </row>
    <row r="4" customFormat="false" ht="15" hidden="false" customHeight="false" outlineLevel="0" collapsed="false">
      <c r="A4" s="6" t="n">
        <v>46129</v>
      </c>
      <c r="B4" s="7" t="s">
        <v>12</v>
      </c>
      <c r="C4" s="7" t="s">
        <v>15</v>
      </c>
      <c r="D4" s="7" t="s">
        <v>16</v>
      </c>
      <c r="E4" s="8" t="s">
        <v>17</v>
      </c>
      <c r="F4" s="8"/>
      <c r="G4" s="8" t="s">
        <v>18</v>
      </c>
      <c r="I4" s="9"/>
      <c r="O4" s="10"/>
      <c r="P4" s="10"/>
      <c r="Q4" s="10"/>
      <c r="R4" s="11"/>
    </row>
    <row r="5" customFormat="false" ht="15" hidden="false" customHeight="false" outlineLevel="0" collapsed="false">
      <c r="A5" s="6" t="n">
        <v>46129</v>
      </c>
      <c r="B5" s="7" t="s">
        <v>15</v>
      </c>
      <c r="C5" s="7" t="s">
        <v>19</v>
      </c>
      <c r="D5" s="7" t="s">
        <v>9</v>
      </c>
      <c r="E5" s="8" t="s">
        <v>20</v>
      </c>
      <c r="F5" s="8"/>
      <c r="G5" s="8" t="s">
        <v>21</v>
      </c>
      <c r="I5" s="9"/>
      <c r="O5" s="10"/>
      <c r="P5" s="10"/>
      <c r="Q5" s="10"/>
      <c r="R5" s="11"/>
    </row>
    <row r="6" customFormat="false" ht="15" hidden="false" customHeight="false" outlineLevel="0" collapsed="false">
      <c r="A6" s="6" t="n">
        <v>46129</v>
      </c>
      <c r="B6" s="7" t="s">
        <v>22</v>
      </c>
      <c r="C6" s="7" t="s">
        <v>23</v>
      </c>
      <c r="D6" s="7" t="s">
        <v>16</v>
      </c>
      <c r="E6" s="8" t="s">
        <v>17</v>
      </c>
      <c r="F6" s="8"/>
      <c r="G6" s="8" t="s">
        <v>24</v>
      </c>
      <c r="I6" s="9"/>
      <c r="O6" s="10"/>
      <c r="P6" s="10"/>
      <c r="Q6" s="10"/>
      <c r="R6" s="11"/>
    </row>
    <row r="7" customFormat="false" ht="15" hidden="false" customHeight="false" outlineLevel="0" collapsed="false">
      <c r="A7" s="6" t="n">
        <v>46129</v>
      </c>
      <c r="B7" s="7" t="s">
        <v>23</v>
      </c>
      <c r="C7" s="7" t="s">
        <v>25</v>
      </c>
      <c r="D7" s="7" t="s">
        <v>16</v>
      </c>
      <c r="E7" s="8" t="s">
        <v>17</v>
      </c>
      <c r="F7" s="8"/>
      <c r="G7" s="8" t="s">
        <v>26</v>
      </c>
      <c r="I7" s="9"/>
      <c r="O7" s="10"/>
      <c r="P7" s="10"/>
      <c r="Q7" s="10"/>
      <c r="R7" s="11"/>
    </row>
    <row r="8" customFormat="false" ht="15" hidden="false" customHeight="false" outlineLevel="0" collapsed="false">
      <c r="A8" s="6" t="n">
        <v>46129</v>
      </c>
      <c r="B8" s="7" t="s">
        <v>27</v>
      </c>
      <c r="C8" s="7" t="s">
        <v>28</v>
      </c>
      <c r="D8" s="7" t="s">
        <v>29</v>
      </c>
      <c r="E8" s="8" t="s">
        <v>13</v>
      </c>
      <c r="F8" s="8"/>
      <c r="G8" s="8" t="s">
        <v>30</v>
      </c>
      <c r="I8" s="9"/>
      <c r="O8" s="10"/>
      <c r="P8" s="10"/>
      <c r="Q8" s="10"/>
      <c r="R8" s="11"/>
    </row>
    <row r="9" customFormat="false" ht="15" hidden="false" customHeight="false" outlineLevel="0" collapsed="false">
      <c r="A9" s="6" t="n">
        <v>46131</v>
      </c>
      <c r="B9" s="7" t="s">
        <v>7</v>
      </c>
      <c r="C9" s="7" t="s">
        <v>12</v>
      </c>
      <c r="D9" s="7" t="s">
        <v>16</v>
      </c>
      <c r="E9" s="8" t="s">
        <v>17</v>
      </c>
      <c r="F9" s="8"/>
      <c r="G9" s="12" t="s">
        <v>31</v>
      </c>
      <c r="I9" s="9"/>
      <c r="O9" s="10"/>
      <c r="P9" s="10"/>
      <c r="Q9" s="10"/>
      <c r="R9" s="11"/>
    </row>
    <row r="10" customFormat="false" ht="15" hidden="false" customHeight="false" outlineLevel="0" collapsed="false">
      <c r="A10" s="6" t="n">
        <v>46131</v>
      </c>
      <c r="B10" s="7" t="s">
        <v>12</v>
      </c>
      <c r="C10" s="7" t="s">
        <v>15</v>
      </c>
      <c r="D10" s="7" t="s">
        <v>16</v>
      </c>
      <c r="E10" s="8" t="s">
        <v>17</v>
      </c>
      <c r="F10" s="8"/>
      <c r="G10" s="12" t="s">
        <v>31</v>
      </c>
      <c r="I10" s="9"/>
      <c r="O10" s="10"/>
      <c r="P10" s="10"/>
      <c r="Q10" s="10"/>
      <c r="R10" s="11"/>
    </row>
    <row r="11" customFormat="false" ht="15" hidden="false" customHeight="false" outlineLevel="0" collapsed="false">
      <c r="A11" s="6" t="n">
        <v>46131</v>
      </c>
      <c r="B11" s="7" t="s">
        <v>15</v>
      </c>
      <c r="C11" s="7" t="s">
        <v>32</v>
      </c>
      <c r="D11" s="7" t="s">
        <v>16</v>
      </c>
      <c r="E11" s="8" t="s">
        <v>17</v>
      </c>
      <c r="F11" s="8"/>
      <c r="G11" s="12" t="s">
        <v>31</v>
      </c>
      <c r="I11" s="9"/>
      <c r="O11" s="10"/>
      <c r="P11" s="10"/>
      <c r="Q11" s="10"/>
      <c r="R11" s="11"/>
    </row>
    <row r="12" customFormat="false" ht="15" hidden="false" customHeight="false" outlineLevel="0" collapsed="false">
      <c r="A12" s="6" t="n">
        <v>46131</v>
      </c>
      <c r="B12" s="7" t="s">
        <v>22</v>
      </c>
      <c r="C12" s="7" t="s">
        <v>33</v>
      </c>
      <c r="D12" s="7" t="s">
        <v>34</v>
      </c>
      <c r="E12" s="8" t="s">
        <v>20</v>
      </c>
      <c r="F12" s="8"/>
      <c r="G12" s="8" t="s">
        <v>35</v>
      </c>
      <c r="I12" s="9"/>
      <c r="O12" s="10"/>
      <c r="P12" s="10"/>
      <c r="Q12" s="10"/>
      <c r="R12" s="11"/>
    </row>
    <row r="13" customFormat="false" ht="15" hidden="false" customHeight="false" outlineLevel="0" collapsed="false">
      <c r="A13" s="6" t="n">
        <v>46131</v>
      </c>
      <c r="B13" s="7" t="s">
        <v>33</v>
      </c>
      <c r="C13" s="7" t="s">
        <v>23</v>
      </c>
      <c r="D13" s="7" t="s">
        <v>36</v>
      </c>
      <c r="E13" s="8" t="s">
        <v>37</v>
      </c>
      <c r="F13" s="8"/>
      <c r="G13" s="8" t="s">
        <v>38</v>
      </c>
      <c r="I13" s="9"/>
      <c r="O13" s="10"/>
      <c r="P13" s="10"/>
      <c r="Q13" s="10"/>
      <c r="R13" s="11"/>
    </row>
    <row r="14" customFormat="false" ht="15" hidden="false" customHeight="false" outlineLevel="0" collapsed="false">
      <c r="A14" s="6" t="n">
        <v>46131</v>
      </c>
      <c r="B14" s="7" t="s">
        <v>25</v>
      </c>
      <c r="C14" s="7" t="s">
        <v>27</v>
      </c>
      <c r="D14" s="7" t="s">
        <v>16</v>
      </c>
      <c r="E14" s="8" t="s">
        <v>39</v>
      </c>
      <c r="F14" s="8"/>
      <c r="G14" s="8" t="s">
        <v>40</v>
      </c>
      <c r="I14" s="9"/>
      <c r="O14" s="10"/>
      <c r="P14" s="10"/>
      <c r="Q14" s="10"/>
      <c r="R14" s="11"/>
    </row>
    <row r="15" customFormat="false" ht="15" hidden="false" customHeight="false" outlineLevel="0" collapsed="false">
      <c r="A15" s="6" t="n">
        <v>46132</v>
      </c>
      <c r="B15" s="7" t="n">
        <v>0.5</v>
      </c>
      <c r="C15" s="7" t="n">
        <v>0.541666666666667</v>
      </c>
      <c r="D15" s="7" t="n">
        <v>0.0416666666666667</v>
      </c>
      <c r="E15" s="8" t="s">
        <v>39</v>
      </c>
      <c r="F15" s="8"/>
      <c r="G15" s="8" t="s">
        <v>40</v>
      </c>
      <c r="I15" s="9"/>
      <c r="O15" s="10"/>
      <c r="P15" s="10"/>
      <c r="Q15" s="10"/>
      <c r="R15" s="11"/>
    </row>
    <row r="16" customFormat="false" ht="15" hidden="false" customHeight="false" outlineLevel="0" collapsed="false">
      <c r="A16" s="6"/>
      <c r="B16" s="7"/>
      <c r="C16" s="7"/>
      <c r="D16" s="7"/>
      <c r="E16" s="8"/>
      <c r="F16" s="8"/>
      <c r="G16" s="8"/>
      <c r="I16" s="9"/>
      <c r="O16" s="10"/>
      <c r="P16" s="10"/>
      <c r="Q16" s="10"/>
      <c r="R16" s="11"/>
    </row>
    <row r="17" customFormat="false" ht="15" hidden="false" customHeight="false" outlineLevel="0" collapsed="false">
      <c r="A17" s="6"/>
      <c r="B17" s="7"/>
      <c r="C17" s="7"/>
      <c r="D17" s="7"/>
      <c r="E17" s="8"/>
      <c r="F17" s="8"/>
      <c r="G17" s="8"/>
      <c r="I17" s="9"/>
      <c r="O17" s="10"/>
      <c r="P17" s="10"/>
      <c r="Q17" s="10"/>
      <c r="R17" s="11"/>
    </row>
    <row r="18" customFormat="false" ht="15" hidden="false" customHeight="false" outlineLevel="0" collapsed="false">
      <c r="A18" s="6"/>
      <c r="B18" s="7"/>
      <c r="C18" s="7"/>
      <c r="D18" s="7"/>
      <c r="E18" s="8"/>
      <c r="F18" s="8"/>
      <c r="G18" s="8"/>
      <c r="I18" s="9"/>
      <c r="O18" s="10"/>
      <c r="P18" s="10"/>
      <c r="Q18" s="10"/>
      <c r="R18" s="11"/>
    </row>
    <row r="19" customFormat="false" ht="15" hidden="false" customHeight="false" outlineLevel="0" collapsed="false">
      <c r="A19" s="6"/>
      <c r="B19" s="7"/>
      <c r="C19" s="7"/>
      <c r="D19" s="7"/>
      <c r="E19" s="8"/>
      <c r="F19" s="8"/>
      <c r="G19" s="8"/>
      <c r="I19" s="9"/>
      <c r="O19" s="10"/>
      <c r="P19" s="10"/>
      <c r="Q19" s="10"/>
      <c r="R19" s="11"/>
    </row>
    <row r="20" customFormat="false" ht="15" hidden="false" customHeight="false" outlineLevel="0" collapsed="false">
      <c r="A20" s="6"/>
      <c r="B20" s="7"/>
      <c r="C20" s="7"/>
      <c r="D20" s="7"/>
      <c r="E20" s="8"/>
      <c r="F20" s="8"/>
      <c r="G20" s="8"/>
      <c r="I20" s="9"/>
      <c r="O20" s="10"/>
      <c r="P20" s="10"/>
      <c r="Q20" s="10"/>
      <c r="R20" s="11"/>
    </row>
    <row r="21" customFormat="false" ht="15" hidden="false" customHeight="false" outlineLevel="0" collapsed="false">
      <c r="A21" s="6"/>
      <c r="B21" s="7"/>
      <c r="C21" s="7"/>
      <c r="D21" s="7"/>
      <c r="E21" s="8"/>
      <c r="F21" s="8"/>
      <c r="G21" s="8"/>
      <c r="I21" s="9"/>
      <c r="O21" s="10"/>
      <c r="P21" s="10"/>
      <c r="Q21" s="10"/>
      <c r="R21" s="11"/>
    </row>
    <row r="22" customFormat="false" ht="15" hidden="false" customHeight="false" outlineLevel="0" collapsed="false">
      <c r="A22" s="6"/>
      <c r="B22" s="7"/>
      <c r="C22" s="7"/>
      <c r="D22" s="7"/>
      <c r="E22" s="8"/>
      <c r="F22" s="8"/>
      <c r="G22" s="8"/>
      <c r="I22" s="9"/>
      <c r="O22" s="10"/>
      <c r="P22" s="10"/>
      <c r="Q22" s="10"/>
      <c r="R22" s="11"/>
    </row>
    <row r="23" customFormat="false" ht="15" hidden="false" customHeight="false" outlineLevel="0" collapsed="false">
      <c r="A23" s="6"/>
      <c r="B23" s="7"/>
      <c r="C23" s="7"/>
      <c r="D23" s="7"/>
      <c r="E23" s="8"/>
      <c r="F23" s="8"/>
      <c r="G23" s="8"/>
      <c r="I23" s="9"/>
      <c r="O23" s="10"/>
      <c r="P23" s="10"/>
      <c r="Q23" s="10"/>
      <c r="R23" s="11"/>
    </row>
    <row r="24" customFormat="false" ht="15" hidden="false" customHeight="false" outlineLevel="0" collapsed="false">
      <c r="A24" s="6"/>
      <c r="B24" s="7"/>
      <c r="C24" s="7"/>
      <c r="D24" s="7"/>
      <c r="E24" s="8"/>
      <c r="F24" s="8"/>
      <c r="G24" s="8"/>
      <c r="I24" s="9"/>
      <c r="O24" s="10"/>
      <c r="P24" s="10"/>
      <c r="Q24" s="10"/>
      <c r="R24" s="11"/>
    </row>
    <row r="25" customFormat="false" ht="15" hidden="false" customHeight="false" outlineLevel="0" collapsed="false">
      <c r="A25" s="6"/>
      <c r="B25" s="7"/>
      <c r="C25" s="7"/>
      <c r="D25" s="7"/>
      <c r="E25" s="8"/>
      <c r="F25" s="8"/>
      <c r="G25" s="8"/>
      <c r="I25" s="9"/>
      <c r="O25" s="10"/>
      <c r="P25" s="10"/>
      <c r="Q25" s="10"/>
      <c r="R25" s="11"/>
    </row>
    <row r="26" customFormat="false" ht="15" hidden="false" customHeight="false" outlineLevel="0" collapsed="false">
      <c r="A26" s="6"/>
      <c r="B26" s="7"/>
      <c r="C26" s="7"/>
      <c r="D26" s="7"/>
      <c r="E26" s="8"/>
      <c r="F26" s="8"/>
      <c r="G26" s="8"/>
      <c r="I26" s="9"/>
      <c r="O26" s="10"/>
      <c r="P26" s="10"/>
      <c r="Q26" s="10"/>
      <c r="R26" s="11"/>
    </row>
    <row r="27" customFormat="false" ht="15" hidden="false" customHeight="false" outlineLevel="0" collapsed="false">
      <c r="A27" s="6"/>
      <c r="B27" s="7"/>
      <c r="C27" s="7"/>
      <c r="D27" s="7"/>
      <c r="E27" s="8"/>
      <c r="F27" s="8"/>
      <c r="G27" s="8"/>
      <c r="I27" s="9"/>
      <c r="O27" s="10"/>
      <c r="P27" s="10"/>
      <c r="Q27" s="10"/>
      <c r="R27" s="11"/>
    </row>
    <row r="28" customFormat="false" ht="15" hidden="false" customHeight="false" outlineLevel="0" collapsed="false">
      <c r="A28" s="6"/>
      <c r="B28" s="7"/>
      <c r="C28" s="7"/>
      <c r="D28" s="7"/>
      <c r="E28" s="8"/>
      <c r="F28" s="8"/>
      <c r="G28" s="8"/>
      <c r="I28" s="9"/>
      <c r="O28" s="10"/>
      <c r="P28" s="10"/>
      <c r="Q28" s="10"/>
      <c r="R28" s="11"/>
    </row>
    <row r="29" customFormat="false" ht="15" hidden="false" customHeight="false" outlineLevel="0" collapsed="false">
      <c r="A29" s="6"/>
      <c r="B29" s="7"/>
      <c r="C29" s="7"/>
      <c r="D29" s="7"/>
      <c r="E29" s="8"/>
      <c r="F29" s="8"/>
      <c r="G29" s="8"/>
      <c r="I29" s="9"/>
      <c r="O29" s="10"/>
      <c r="P29" s="10"/>
      <c r="Q29" s="10"/>
      <c r="R29" s="11"/>
    </row>
    <row r="30" customFormat="false" ht="15" hidden="false" customHeight="false" outlineLevel="0" collapsed="false">
      <c r="A30" s="6"/>
      <c r="B30" s="7"/>
      <c r="C30" s="7"/>
      <c r="D30" s="7"/>
      <c r="E30" s="8"/>
      <c r="F30" s="8"/>
      <c r="G30" s="8"/>
      <c r="I30" s="9"/>
      <c r="O30" s="10"/>
      <c r="P30" s="10"/>
      <c r="Q30" s="10"/>
      <c r="R30" s="11"/>
    </row>
    <row r="31" customFormat="false" ht="15" hidden="false" customHeight="false" outlineLevel="0" collapsed="false">
      <c r="A31" s="6"/>
      <c r="B31" s="7"/>
      <c r="C31" s="7"/>
      <c r="D31" s="7"/>
      <c r="E31" s="8"/>
      <c r="F31" s="8"/>
      <c r="G31" s="8"/>
      <c r="I31" s="9"/>
      <c r="O31" s="10"/>
      <c r="P31" s="10"/>
      <c r="Q31" s="10"/>
      <c r="R31" s="11"/>
    </row>
    <row r="32" customFormat="false" ht="15" hidden="false" customHeight="false" outlineLevel="0" collapsed="false">
      <c r="A32" s="6"/>
      <c r="B32" s="7"/>
      <c r="C32" s="7"/>
      <c r="D32" s="7"/>
      <c r="E32" s="8"/>
      <c r="F32" s="8"/>
      <c r="G32" s="8"/>
      <c r="I32" s="9"/>
      <c r="O32" s="10"/>
      <c r="P32" s="10"/>
      <c r="Q32" s="10"/>
      <c r="R32" s="11"/>
    </row>
    <row r="33" customFormat="false" ht="15" hidden="false" customHeight="false" outlineLevel="0" collapsed="false">
      <c r="A33" s="6"/>
      <c r="B33" s="7"/>
      <c r="C33" s="7"/>
      <c r="D33" s="7"/>
      <c r="E33" s="8"/>
      <c r="F33" s="8"/>
      <c r="G33" s="8"/>
      <c r="I33" s="9"/>
      <c r="O33" s="10"/>
      <c r="P33" s="10"/>
      <c r="Q33" s="10"/>
      <c r="R33" s="11"/>
    </row>
    <row r="34" customFormat="false" ht="15" hidden="false" customHeight="false" outlineLevel="0" collapsed="false">
      <c r="A34" s="6"/>
      <c r="B34" s="7"/>
      <c r="C34" s="7"/>
      <c r="D34" s="7"/>
      <c r="E34" s="8"/>
      <c r="F34" s="8"/>
      <c r="G34" s="8"/>
      <c r="I34" s="9"/>
      <c r="O34" s="10"/>
      <c r="P34" s="10"/>
      <c r="Q34" s="10"/>
      <c r="R34" s="11"/>
    </row>
    <row r="35" customFormat="false" ht="15" hidden="false" customHeight="false" outlineLevel="0" collapsed="false">
      <c r="A35" s="6"/>
      <c r="B35" s="7"/>
      <c r="C35" s="7"/>
      <c r="D35" s="7"/>
      <c r="E35" s="8"/>
      <c r="F35" s="8"/>
      <c r="G35" s="8"/>
      <c r="I35" s="9"/>
      <c r="O35" s="10"/>
      <c r="P35" s="10"/>
      <c r="Q35" s="10"/>
      <c r="R35" s="11"/>
    </row>
    <row r="36" customFormat="false" ht="15" hidden="false" customHeight="false" outlineLevel="0" collapsed="false">
      <c r="A36" s="6"/>
      <c r="B36" s="7"/>
      <c r="C36" s="7"/>
      <c r="D36" s="7"/>
      <c r="E36" s="8"/>
      <c r="F36" s="8"/>
      <c r="G36" s="8"/>
      <c r="I36" s="9"/>
      <c r="O36" s="10"/>
      <c r="P36" s="10"/>
      <c r="Q36" s="10"/>
      <c r="R36" s="11"/>
    </row>
    <row r="37" customFormat="false" ht="15" hidden="false" customHeight="false" outlineLevel="0" collapsed="false">
      <c r="A37" s="6"/>
      <c r="B37" s="7"/>
      <c r="C37" s="7"/>
      <c r="D37" s="7"/>
      <c r="E37" s="8"/>
      <c r="F37" s="8"/>
      <c r="G37" s="8"/>
      <c r="I37" s="9"/>
      <c r="O37" s="10"/>
      <c r="P37" s="10"/>
      <c r="Q37" s="10"/>
      <c r="R37" s="11"/>
    </row>
    <row r="38" customFormat="false" ht="15" hidden="false" customHeight="false" outlineLevel="0" collapsed="false">
      <c r="A38" s="6"/>
      <c r="B38" s="7"/>
      <c r="C38" s="7"/>
      <c r="D38" s="7"/>
      <c r="E38" s="8"/>
      <c r="F38" s="8"/>
      <c r="G38" s="8"/>
      <c r="I38" s="9"/>
      <c r="O38" s="10"/>
      <c r="P38" s="10"/>
      <c r="Q38" s="10"/>
      <c r="R38" s="11"/>
    </row>
    <row r="39" customFormat="false" ht="15" hidden="false" customHeight="false" outlineLevel="0" collapsed="false">
      <c r="A39" s="6"/>
      <c r="B39" s="7"/>
      <c r="C39" s="7"/>
      <c r="D39" s="7"/>
      <c r="E39" s="8"/>
      <c r="F39" s="8"/>
      <c r="G39" s="8"/>
      <c r="I39" s="9"/>
      <c r="O39" s="10"/>
      <c r="P39" s="10"/>
      <c r="Q39" s="10"/>
      <c r="R39" s="11"/>
    </row>
    <row r="40" customFormat="false" ht="15" hidden="false" customHeight="false" outlineLevel="0" collapsed="false">
      <c r="A40" s="6"/>
      <c r="B40" s="7"/>
      <c r="C40" s="7"/>
      <c r="D40" s="7"/>
      <c r="E40" s="8"/>
      <c r="F40" s="8"/>
      <c r="G40" s="8"/>
      <c r="I40" s="9"/>
      <c r="O40" s="10"/>
      <c r="P40" s="10"/>
      <c r="Q40" s="10"/>
      <c r="R40" s="11"/>
    </row>
    <row r="41" customFormat="false" ht="15" hidden="false" customHeight="false" outlineLevel="0" collapsed="false">
      <c r="A41" s="6"/>
      <c r="B41" s="7"/>
      <c r="C41" s="7"/>
      <c r="D41" s="7"/>
      <c r="E41" s="8"/>
      <c r="F41" s="8"/>
      <c r="G41" s="8"/>
      <c r="I41" s="9"/>
      <c r="O41" s="10"/>
      <c r="P41" s="10"/>
      <c r="Q41" s="10"/>
      <c r="R41" s="11"/>
    </row>
    <row r="42" customFormat="false" ht="15" hidden="false" customHeight="false" outlineLevel="0" collapsed="false">
      <c r="A42" s="6"/>
      <c r="B42" s="7"/>
      <c r="C42" s="7"/>
      <c r="D42" s="7"/>
      <c r="E42" s="8"/>
      <c r="F42" s="8"/>
      <c r="G42" s="8"/>
      <c r="I42" s="9"/>
      <c r="O42" s="10"/>
      <c r="P42" s="10"/>
      <c r="Q42" s="10"/>
      <c r="R42" s="11"/>
    </row>
    <row r="43" customFormat="false" ht="15" hidden="false" customHeight="false" outlineLevel="0" collapsed="false">
      <c r="A43" s="6"/>
      <c r="B43" s="7"/>
      <c r="C43" s="7"/>
      <c r="D43" s="7"/>
      <c r="E43" s="8"/>
      <c r="F43" s="8"/>
      <c r="G43" s="8"/>
      <c r="I43" s="9"/>
      <c r="O43" s="10"/>
      <c r="P43" s="10"/>
      <c r="Q43" s="10"/>
      <c r="R43" s="11"/>
    </row>
    <row r="44" customFormat="false" ht="15" hidden="false" customHeight="false" outlineLevel="0" collapsed="false">
      <c r="A44" s="6"/>
      <c r="B44" s="7"/>
      <c r="C44" s="7"/>
      <c r="D44" s="7"/>
      <c r="E44" s="8"/>
      <c r="F44" s="8"/>
      <c r="G44" s="8"/>
      <c r="I44" s="9"/>
      <c r="O44" s="10"/>
      <c r="P44" s="10"/>
      <c r="Q44" s="10"/>
      <c r="R44" s="11"/>
    </row>
    <row r="45" customFormat="false" ht="15" hidden="false" customHeight="false" outlineLevel="0" collapsed="false">
      <c r="A45" s="6"/>
      <c r="B45" s="7"/>
      <c r="C45" s="7"/>
      <c r="D45" s="7"/>
      <c r="E45" s="8"/>
      <c r="F45" s="8"/>
      <c r="G45" s="8"/>
      <c r="I45" s="9"/>
      <c r="O45" s="10"/>
      <c r="P45" s="10"/>
      <c r="Q45" s="10"/>
      <c r="R45" s="11"/>
    </row>
    <row r="46" customFormat="false" ht="15" hidden="false" customHeight="false" outlineLevel="0" collapsed="false">
      <c r="A46" s="6"/>
      <c r="B46" s="7"/>
      <c r="C46" s="7"/>
      <c r="D46" s="7"/>
      <c r="E46" s="8"/>
      <c r="F46" s="8"/>
      <c r="G46" s="8"/>
      <c r="I46" s="9"/>
      <c r="O46" s="10"/>
      <c r="P46" s="10"/>
      <c r="Q46" s="10"/>
      <c r="R46" s="11"/>
    </row>
    <row r="47" customFormat="false" ht="15" hidden="false" customHeight="false" outlineLevel="0" collapsed="false">
      <c r="A47" s="6"/>
      <c r="B47" s="7"/>
      <c r="C47" s="7"/>
      <c r="D47" s="7"/>
      <c r="E47" s="8"/>
      <c r="F47" s="8"/>
      <c r="G47" s="8"/>
      <c r="I47" s="9"/>
      <c r="O47" s="10"/>
      <c r="P47" s="10"/>
      <c r="Q47" s="10"/>
      <c r="R47" s="11"/>
    </row>
    <row r="48" customFormat="false" ht="15" hidden="false" customHeight="false" outlineLevel="0" collapsed="false">
      <c r="A48" s="6"/>
      <c r="B48" s="7"/>
      <c r="C48" s="7"/>
      <c r="D48" s="7"/>
      <c r="E48" s="8"/>
      <c r="F48" s="8"/>
      <c r="G48" s="8"/>
      <c r="I48" s="9"/>
      <c r="O48" s="10"/>
      <c r="P48" s="10"/>
      <c r="Q48" s="10"/>
      <c r="R48" s="11"/>
    </row>
    <row r="49" customFormat="false" ht="15" hidden="false" customHeight="false" outlineLevel="0" collapsed="false">
      <c r="A49" s="6"/>
      <c r="B49" s="7"/>
      <c r="C49" s="7"/>
      <c r="D49" s="7"/>
      <c r="E49" s="8"/>
      <c r="F49" s="8"/>
      <c r="G49" s="8"/>
      <c r="I49" s="9"/>
      <c r="O49" s="10"/>
      <c r="P49" s="10"/>
      <c r="Q49" s="10"/>
      <c r="R49" s="11"/>
    </row>
    <row r="50" customFormat="false" ht="15" hidden="false" customHeight="false" outlineLevel="0" collapsed="false">
      <c r="A50" s="6"/>
      <c r="B50" s="7"/>
      <c r="C50" s="7"/>
      <c r="D50" s="7"/>
      <c r="E50" s="8"/>
      <c r="F50" s="8"/>
      <c r="G50" s="8"/>
      <c r="I50" s="9"/>
      <c r="O50" s="10"/>
      <c r="P50" s="10"/>
      <c r="Q50" s="10"/>
      <c r="R50" s="11"/>
    </row>
    <row r="51" customFormat="false" ht="15" hidden="false" customHeight="false" outlineLevel="0" collapsed="false">
      <c r="A51" s="6"/>
      <c r="B51" s="7"/>
      <c r="C51" s="7"/>
      <c r="D51" s="7"/>
      <c r="E51" s="8"/>
      <c r="F51" s="8"/>
      <c r="G51" s="8"/>
      <c r="I51" s="9"/>
      <c r="O51" s="10"/>
      <c r="P51" s="10"/>
      <c r="Q51" s="10"/>
      <c r="R51" s="11"/>
    </row>
    <row r="52" customFormat="false" ht="15" hidden="false" customHeight="false" outlineLevel="0" collapsed="false">
      <c r="A52" s="6"/>
      <c r="B52" s="7"/>
      <c r="C52" s="7"/>
      <c r="D52" s="7"/>
      <c r="E52" s="8"/>
      <c r="F52" s="8"/>
      <c r="G52" s="8"/>
      <c r="I52" s="9"/>
      <c r="O52" s="10"/>
      <c r="P52" s="10"/>
      <c r="Q52" s="10"/>
      <c r="R52" s="11"/>
    </row>
    <row r="53" customFormat="false" ht="15" hidden="false" customHeight="false" outlineLevel="0" collapsed="false">
      <c r="A53" s="6"/>
      <c r="B53" s="7"/>
      <c r="C53" s="7"/>
      <c r="D53" s="7"/>
      <c r="E53" s="8"/>
      <c r="F53" s="8"/>
      <c r="G53" s="8"/>
      <c r="I53" s="9"/>
      <c r="O53" s="10"/>
      <c r="P53" s="10"/>
      <c r="Q53" s="10"/>
      <c r="R53" s="11"/>
    </row>
    <row r="54" customFormat="false" ht="15" hidden="false" customHeight="false" outlineLevel="0" collapsed="false">
      <c r="A54" s="6"/>
      <c r="B54" s="7"/>
      <c r="C54" s="7"/>
      <c r="D54" s="7"/>
      <c r="E54" s="8"/>
      <c r="F54" s="8"/>
      <c r="G54" s="8"/>
      <c r="I54" s="9"/>
      <c r="O54" s="10"/>
      <c r="P54" s="10"/>
      <c r="Q54" s="10"/>
      <c r="R54" s="11"/>
    </row>
    <row r="55" customFormat="false" ht="15" hidden="false" customHeight="false" outlineLevel="0" collapsed="false">
      <c r="A55" s="6"/>
      <c r="B55" s="7"/>
      <c r="C55" s="7"/>
      <c r="D55" s="7"/>
      <c r="E55" s="8"/>
      <c r="F55" s="8"/>
      <c r="G55" s="8"/>
      <c r="I55" s="9"/>
      <c r="O55" s="10"/>
      <c r="P55" s="10"/>
      <c r="Q55" s="10"/>
      <c r="R55" s="11"/>
    </row>
    <row r="56" customFormat="false" ht="15" hidden="false" customHeight="false" outlineLevel="0" collapsed="false">
      <c r="A56" s="6"/>
      <c r="B56" s="7"/>
      <c r="C56" s="7"/>
      <c r="D56" s="7"/>
      <c r="E56" s="8"/>
      <c r="F56" s="8"/>
      <c r="G56" s="8"/>
      <c r="I56" s="9"/>
      <c r="O56" s="10"/>
      <c r="P56" s="10"/>
      <c r="Q56" s="10"/>
      <c r="R56" s="11"/>
    </row>
    <row r="57" customFormat="false" ht="15" hidden="false" customHeight="false" outlineLevel="0" collapsed="false">
      <c r="A57" s="6"/>
      <c r="B57" s="7"/>
      <c r="C57" s="7"/>
      <c r="D57" s="7"/>
      <c r="E57" s="8"/>
      <c r="F57" s="8"/>
      <c r="G57" s="8"/>
      <c r="I57" s="9"/>
      <c r="O57" s="10"/>
      <c r="P57" s="10"/>
      <c r="Q57" s="10"/>
      <c r="R57" s="11"/>
    </row>
    <row r="58" customFormat="false" ht="15" hidden="false" customHeight="false" outlineLevel="0" collapsed="false">
      <c r="A58" s="6"/>
      <c r="B58" s="7"/>
      <c r="C58" s="7"/>
      <c r="D58" s="7"/>
      <c r="E58" s="8"/>
      <c r="F58" s="8"/>
      <c r="G58" s="8"/>
      <c r="I58" s="9"/>
      <c r="O58" s="10"/>
      <c r="P58" s="10"/>
      <c r="Q58" s="10"/>
      <c r="R58" s="11"/>
    </row>
    <row r="59" customFormat="false" ht="15" hidden="false" customHeight="false" outlineLevel="0" collapsed="false">
      <c r="A59" s="6"/>
      <c r="B59" s="7"/>
      <c r="C59" s="7"/>
      <c r="D59" s="7"/>
      <c r="E59" s="8"/>
      <c r="F59" s="8"/>
      <c r="G59" s="8"/>
      <c r="I59" s="9"/>
      <c r="O59" s="10"/>
      <c r="P59" s="10"/>
      <c r="Q59" s="10"/>
      <c r="R59" s="11"/>
    </row>
    <row r="60" customFormat="false" ht="15" hidden="false" customHeight="false" outlineLevel="0" collapsed="false">
      <c r="A60" s="6"/>
      <c r="B60" s="7"/>
      <c r="C60" s="7"/>
      <c r="D60" s="7"/>
      <c r="E60" s="8"/>
      <c r="F60" s="8"/>
      <c r="G60" s="8"/>
      <c r="I60" s="9"/>
      <c r="O60" s="10"/>
      <c r="P60" s="10"/>
      <c r="Q60" s="10"/>
      <c r="R60" s="11"/>
    </row>
    <row r="61" customFormat="false" ht="15" hidden="false" customHeight="false" outlineLevel="0" collapsed="false">
      <c r="A61" s="6"/>
      <c r="B61" s="7"/>
      <c r="C61" s="7"/>
      <c r="D61" s="7"/>
      <c r="E61" s="8"/>
      <c r="F61" s="8"/>
      <c r="G61" s="8"/>
      <c r="I61" s="9"/>
      <c r="O61" s="10"/>
      <c r="P61" s="10"/>
      <c r="Q61" s="10"/>
      <c r="R61" s="11"/>
    </row>
    <row r="62" customFormat="false" ht="15" hidden="false" customHeight="false" outlineLevel="0" collapsed="false">
      <c r="A62" s="6"/>
      <c r="B62" s="7"/>
      <c r="C62" s="7"/>
      <c r="D62" s="7"/>
      <c r="E62" s="8"/>
      <c r="F62" s="8"/>
      <c r="G62" s="8"/>
      <c r="I62" s="9"/>
      <c r="O62" s="10"/>
      <c r="P62" s="10"/>
      <c r="Q62" s="10"/>
      <c r="R62" s="11"/>
    </row>
    <row r="63" customFormat="false" ht="15" hidden="false" customHeight="false" outlineLevel="0" collapsed="false">
      <c r="A63" s="6"/>
      <c r="B63" s="7"/>
      <c r="C63" s="7"/>
      <c r="D63" s="7"/>
      <c r="E63" s="8"/>
      <c r="F63" s="8"/>
      <c r="G63" s="8"/>
      <c r="I63" s="9"/>
      <c r="O63" s="10"/>
      <c r="P63" s="10"/>
      <c r="Q63" s="10"/>
      <c r="R63" s="11"/>
    </row>
    <row r="64" customFormat="false" ht="15" hidden="false" customHeight="false" outlineLevel="0" collapsed="false">
      <c r="A64" s="6"/>
      <c r="B64" s="7"/>
      <c r="C64" s="7"/>
      <c r="D64" s="7"/>
      <c r="E64" s="8"/>
      <c r="F64" s="8"/>
      <c r="G64" s="8"/>
      <c r="I64" s="9"/>
      <c r="O64" s="10"/>
      <c r="P64" s="10"/>
      <c r="Q64" s="10"/>
      <c r="R64" s="11"/>
    </row>
    <row r="65" customFormat="false" ht="15" hidden="false" customHeight="false" outlineLevel="0" collapsed="false">
      <c r="A65" s="6"/>
      <c r="B65" s="7"/>
      <c r="C65" s="7"/>
      <c r="D65" s="7"/>
      <c r="E65" s="8"/>
      <c r="F65" s="8"/>
      <c r="G65" s="8"/>
      <c r="I65" s="9"/>
      <c r="O65" s="10"/>
      <c r="P65" s="10"/>
      <c r="Q65" s="10"/>
      <c r="R65" s="11"/>
    </row>
    <row r="66" customFormat="false" ht="15" hidden="false" customHeight="false" outlineLevel="0" collapsed="false">
      <c r="A66" s="6"/>
      <c r="B66" s="7"/>
      <c r="C66" s="7"/>
      <c r="D66" s="7"/>
      <c r="E66" s="8"/>
      <c r="F66" s="8"/>
      <c r="G66" s="8"/>
      <c r="I66" s="9"/>
      <c r="O66" s="10"/>
      <c r="P66" s="10"/>
      <c r="Q66" s="10"/>
      <c r="R66" s="11"/>
    </row>
    <row r="67" customFormat="false" ht="15" hidden="false" customHeight="false" outlineLevel="0" collapsed="false">
      <c r="A67" s="6"/>
      <c r="B67" s="7"/>
      <c r="C67" s="7"/>
      <c r="D67" s="7"/>
      <c r="E67" s="8"/>
      <c r="F67" s="8"/>
      <c r="G67" s="8"/>
      <c r="I67" s="9"/>
      <c r="O67" s="10"/>
      <c r="P67" s="10"/>
      <c r="Q67" s="10"/>
      <c r="R67" s="11"/>
    </row>
    <row r="68" customFormat="false" ht="15" hidden="false" customHeight="false" outlineLevel="0" collapsed="false">
      <c r="A68" s="6"/>
      <c r="B68" s="7"/>
      <c r="C68" s="7"/>
      <c r="D68" s="7"/>
      <c r="E68" s="8"/>
      <c r="F68" s="8"/>
      <c r="G68" s="8"/>
      <c r="I68" s="9"/>
      <c r="O68" s="10"/>
      <c r="P68" s="10"/>
      <c r="Q68" s="10"/>
      <c r="R68" s="11"/>
    </row>
    <row r="69" customFormat="false" ht="15" hidden="false" customHeight="false" outlineLevel="0" collapsed="false">
      <c r="A69" s="6"/>
      <c r="B69" s="7"/>
      <c r="C69" s="7"/>
      <c r="D69" s="7"/>
      <c r="E69" s="8"/>
      <c r="F69" s="8"/>
      <c r="G69" s="8"/>
      <c r="I69" s="9"/>
      <c r="O69" s="10"/>
      <c r="P69" s="10"/>
      <c r="Q69" s="10"/>
      <c r="R69" s="11"/>
    </row>
    <row r="70" customFormat="false" ht="15" hidden="false" customHeight="false" outlineLevel="0" collapsed="false">
      <c r="A70" s="6"/>
      <c r="B70" s="7"/>
      <c r="C70" s="7"/>
      <c r="D70" s="7"/>
      <c r="E70" s="8"/>
      <c r="F70" s="8"/>
      <c r="G70" s="8"/>
      <c r="I70" s="9"/>
      <c r="O70" s="10"/>
      <c r="P70" s="10"/>
      <c r="Q70" s="10"/>
      <c r="R70" s="11"/>
    </row>
    <row r="71" customFormat="false" ht="15" hidden="false" customHeight="false" outlineLevel="0" collapsed="false">
      <c r="A71" s="6"/>
      <c r="B71" s="7"/>
      <c r="C71" s="7"/>
      <c r="D71" s="7"/>
      <c r="E71" s="8"/>
      <c r="F71" s="8"/>
      <c r="G71" s="8"/>
      <c r="I71" s="9"/>
      <c r="O71" s="10"/>
      <c r="P71" s="10"/>
      <c r="Q71" s="10"/>
      <c r="R71" s="11"/>
    </row>
    <row r="72" customFormat="false" ht="15" hidden="false" customHeight="false" outlineLevel="0" collapsed="false">
      <c r="A72" s="6"/>
      <c r="B72" s="7"/>
      <c r="C72" s="7"/>
      <c r="D72" s="7"/>
      <c r="E72" s="8"/>
      <c r="F72" s="8"/>
      <c r="G72" s="8"/>
      <c r="I72" s="9"/>
      <c r="O72" s="10"/>
      <c r="P72" s="10"/>
      <c r="Q72" s="10"/>
      <c r="R72" s="11"/>
    </row>
    <row r="73" customFormat="false" ht="15" hidden="false" customHeight="false" outlineLevel="0" collapsed="false">
      <c r="A73" s="6"/>
      <c r="B73" s="7"/>
      <c r="C73" s="7"/>
      <c r="D73" s="7"/>
      <c r="E73" s="8"/>
      <c r="F73" s="8"/>
      <c r="G73" s="8"/>
      <c r="I73" s="9"/>
      <c r="O73" s="10"/>
      <c r="P73" s="10"/>
      <c r="Q73" s="10"/>
      <c r="R73" s="11"/>
    </row>
    <row r="74" customFormat="false" ht="15" hidden="false" customHeight="false" outlineLevel="0" collapsed="false">
      <c r="A74" s="6"/>
      <c r="B74" s="7"/>
      <c r="C74" s="7"/>
      <c r="D74" s="7"/>
      <c r="E74" s="8"/>
      <c r="F74" s="8"/>
      <c r="G74" s="8"/>
      <c r="I74" s="9"/>
      <c r="O74" s="10"/>
      <c r="P74" s="10"/>
      <c r="Q74" s="10"/>
      <c r="R74" s="11"/>
    </row>
    <row r="75" customFormat="false" ht="15" hidden="false" customHeight="false" outlineLevel="0" collapsed="false">
      <c r="A75" s="6"/>
      <c r="B75" s="7"/>
      <c r="C75" s="7"/>
      <c r="D75" s="7"/>
      <c r="E75" s="8"/>
      <c r="F75" s="8"/>
      <c r="G75" s="8"/>
      <c r="I75" s="9"/>
      <c r="O75" s="10"/>
      <c r="P75" s="10"/>
      <c r="Q75" s="10"/>
      <c r="R75" s="11"/>
    </row>
    <row r="76" customFormat="false" ht="15" hidden="false" customHeight="false" outlineLevel="0" collapsed="false">
      <c r="A76" s="6"/>
      <c r="B76" s="7"/>
      <c r="C76" s="7"/>
      <c r="D76" s="7"/>
      <c r="E76" s="8"/>
      <c r="F76" s="8"/>
      <c r="G76" s="8"/>
      <c r="I76" s="9"/>
      <c r="O76" s="10"/>
      <c r="P76" s="10"/>
      <c r="Q76" s="10"/>
      <c r="R76" s="11"/>
    </row>
    <row r="77" customFormat="false" ht="15" hidden="false" customHeight="false" outlineLevel="0" collapsed="false">
      <c r="A77" s="6"/>
      <c r="B77" s="7"/>
      <c r="C77" s="7"/>
      <c r="D77" s="7"/>
      <c r="E77" s="8"/>
      <c r="F77" s="8"/>
      <c r="G77" s="8"/>
      <c r="I77" s="9"/>
      <c r="O77" s="10"/>
      <c r="P77" s="10"/>
      <c r="Q77" s="10"/>
      <c r="R77" s="11"/>
    </row>
    <row r="78" customFormat="false" ht="15" hidden="false" customHeight="false" outlineLevel="0" collapsed="false">
      <c r="A78" s="6"/>
      <c r="B78" s="7"/>
      <c r="C78" s="7"/>
      <c r="D78" s="7"/>
      <c r="E78" s="8"/>
      <c r="F78" s="8"/>
      <c r="G78" s="8"/>
      <c r="I78" s="9"/>
      <c r="O78" s="10"/>
      <c r="P78" s="10"/>
      <c r="Q78" s="10"/>
      <c r="R78" s="11"/>
    </row>
    <row r="79" customFormat="false" ht="15" hidden="false" customHeight="false" outlineLevel="0" collapsed="false">
      <c r="A79" s="6"/>
      <c r="B79" s="7"/>
      <c r="C79" s="7"/>
      <c r="D79" s="7"/>
      <c r="E79" s="8"/>
      <c r="F79" s="8"/>
      <c r="G79" s="8"/>
      <c r="I79" s="9"/>
      <c r="O79" s="10"/>
      <c r="P79" s="10"/>
      <c r="Q79" s="10"/>
      <c r="R79" s="11"/>
    </row>
    <row r="80" customFormat="false" ht="15" hidden="false" customHeight="false" outlineLevel="0" collapsed="false">
      <c r="A80" s="6"/>
      <c r="B80" s="7"/>
      <c r="C80" s="7"/>
      <c r="D80" s="7"/>
      <c r="E80" s="8"/>
      <c r="F80" s="8"/>
      <c r="G80" s="8"/>
      <c r="I80" s="9"/>
      <c r="O80" s="10"/>
      <c r="P80" s="10"/>
      <c r="Q80" s="10"/>
      <c r="R80" s="11"/>
    </row>
    <row r="81" customFormat="false" ht="15" hidden="false" customHeight="false" outlineLevel="0" collapsed="false">
      <c r="A81" s="6"/>
      <c r="B81" s="7"/>
      <c r="C81" s="7"/>
      <c r="D81" s="7"/>
      <c r="E81" s="8"/>
      <c r="F81" s="8"/>
      <c r="G81" s="8"/>
      <c r="I81" s="9"/>
      <c r="O81" s="10"/>
      <c r="P81" s="10"/>
      <c r="Q81" s="10"/>
      <c r="R81" s="11"/>
    </row>
    <row r="82" customFormat="false" ht="15" hidden="false" customHeight="false" outlineLevel="0" collapsed="false">
      <c r="A82" s="6"/>
      <c r="B82" s="7"/>
      <c r="C82" s="7"/>
      <c r="D82" s="7"/>
      <c r="E82" s="8"/>
      <c r="F82" s="8"/>
      <c r="G82" s="8"/>
      <c r="I82" s="9"/>
      <c r="O82" s="10"/>
      <c r="P82" s="10"/>
      <c r="Q82" s="10"/>
      <c r="R82" s="11"/>
    </row>
    <row r="83" customFormat="false" ht="15" hidden="false" customHeight="false" outlineLevel="0" collapsed="false">
      <c r="A83" s="6"/>
      <c r="B83" s="7"/>
      <c r="C83" s="7"/>
      <c r="D83" s="7"/>
      <c r="E83" s="8"/>
      <c r="F83" s="8"/>
      <c r="G83" s="8"/>
      <c r="I83" s="9"/>
      <c r="O83" s="10"/>
      <c r="P83" s="10"/>
      <c r="Q83" s="10"/>
      <c r="R83" s="11"/>
    </row>
    <row r="84" customFormat="false" ht="15" hidden="false" customHeight="false" outlineLevel="0" collapsed="false">
      <c r="A84" s="6"/>
      <c r="B84" s="7"/>
      <c r="C84" s="7"/>
      <c r="D84" s="7"/>
      <c r="E84" s="8"/>
      <c r="F84" s="8"/>
      <c r="G84" s="8"/>
      <c r="I84" s="9"/>
      <c r="O84" s="10"/>
      <c r="P84" s="10"/>
      <c r="Q84" s="10"/>
      <c r="R84" s="11"/>
    </row>
    <row r="85" customFormat="false" ht="15" hidden="false" customHeight="false" outlineLevel="0" collapsed="false">
      <c r="A85" s="6"/>
      <c r="B85" s="7"/>
      <c r="C85" s="7"/>
      <c r="D85" s="7"/>
      <c r="E85" s="8"/>
      <c r="F85" s="8"/>
      <c r="G85" s="8"/>
      <c r="I85" s="9"/>
      <c r="O85" s="10"/>
      <c r="P85" s="10"/>
      <c r="Q85" s="10"/>
      <c r="R85" s="11"/>
    </row>
    <row r="86" customFormat="false" ht="15" hidden="false" customHeight="false" outlineLevel="0" collapsed="false">
      <c r="A86" s="6"/>
      <c r="B86" s="7"/>
      <c r="C86" s="7"/>
      <c r="D86" s="7"/>
      <c r="E86" s="8"/>
      <c r="F86" s="8"/>
      <c r="G86" s="8"/>
      <c r="I86" s="9"/>
      <c r="O86" s="10"/>
      <c r="P86" s="10"/>
      <c r="Q86" s="10"/>
      <c r="R86" s="11"/>
    </row>
    <row r="87" customFormat="false" ht="15" hidden="false" customHeight="false" outlineLevel="0" collapsed="false">
      <c r="A87" s="6"/>
      <c r="B87" s="7"/>
      <c r="C87" s="7"/>
      <c r="D87" s="7"/>
      <c r="E87" s="8"/>
      <c r="F87" s="8"/>
      <c r="G87" s="8"/>
      <c r="I87" s="9"/>
      <c r="O87" s="10"/>
      <c r="P87" s="10"/>
      <c r="Q87" s="10"/>
      <c r="R87" s="11"/>
    </row>
    <row r="88" customFormat="false" ht="15" hidden="false" customHeight="false" outlineLevel="0" collapsed="false">
      <c r="A88" s="6"/>
      <c r="B88" s="7"/>
      <c r="C88" s="7"/>
      <c r="D88" s="7"/>
      <c r="E88" s="8"/>
      <c r="F88" s="8"/>
      <c r="G88" s="8"/>
      <c r="I88" s="9"/>
      <c r="O88" s="10"/>
      <c r="P88" s="10"/>
      <c r="Q88" s="10"/>
      <c r="R88" s="11"/>
    </row>
    <row r="89" customFormat="false" ht="15" hidden="false" customHeight="false" outlineLevel="0" collapsed="false">
      <c r="A89" s="6"/>
      <c r="B89" s="7"/>
      <c r="C89" s="7"/>
      <c r="D89" s="7"/>
      <c r="E89" s="8"/>
      <c r="F89" s="8"/>
      <c r="G89" s="8"/>
      <c r="I89" s="9"/>
      <c r="O89" s="10"/>
      <c r="P89" s="10"/>
      <c r="Q89" s="10"/>
      <c r="R89" s="11"/>
    </row>
    <row r="90" customFormat="false" ht="15" hidden="false" customHeight="false" outlineLevel="0" collapsed="false">
      <c r="A90" s="6"/>
      <c r="B90" s="7"/>
      <c r="C90" s="7"/>
      <c r="D90" s="7"/>
      <c r="E90" s="8"/>
      <c r="F90" s="8"/>
      <c r="G90" s="8"/>
      <c r="I90" s="9"/>
      <c r="O90" s="10"/>
      <c r="P90" s="10"/>
      <c r="Q90" s="10"/>
      <c r="R90" s="11"/>
    </row>
    <row r="91" customFormat="false" ht="15" hidden="false" customHeight="false" outlineLevel="0" collapsed="false">
      <c r="A91" s="6"/>
      <c r="B91" s="7"/>
      <c r="C91" s="7"/>
      <c r="D91" s="7"/>
      <c r="E91" s="8"/>
      <c r="F91" s="8"/>
      <c r="G91" s="8"/>
      <c r="I91" s="9"/>
      <c r="O91" s="10"/>
      <c r="P91" s="10"/>
      <c r="Q91" s="10"/>
      <c r="R91" s="11"/>
    </row>
    <row r="92" customFormat="false" ht="15" hidden="false" customHeight="false" outlineLevel="0" collapsed="false">
      <c r="A92" s="6"/>
      <c r="B92" s="7"/>
      <c r="C92" s="7"/>
      <c r="D92" s="7"/>
      <c r="E92" s="8"/>
      <c r="F92" s="8"/>
      <c r="G92" s="8"/>
      <c r="I92" s="9"/>
      <c r="O92" s="10"/>
      <c r="P92" s="10"/>
      <c r="Q92" s="10"/>
      <c r="R92" s="11"/>
    </row>
    <row r="93" customFormat="false" ht="15" hidden="false" customHeight="false" outlineLevel="0" collapsed="false">
      <c r="A93" s="13"/>
      <c r="B93" s="14"/>
      <c r="C93" s="14"/>
      <c r="D93" s="14"/>
      <c r="E93" s="15"/>
      <c r="F93" s="15"/>
      <c r="G93" s="15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49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23828125" defaultRowHeight="12.75" customHeight="false" zeroHeight="false" outlineLevelRow="0" outlineLevelCol="0"/>
  <cols>
    <col collapsed="false" customWidth="true" hidden="false" outlineLevel="0" max="1" min="1" style="2" width="1.03"/>
    <col collapsed="false" customWidth="true" hidden="false" outlineLevel="0" max="2" min="2" style="2" width="11.39"/>
    <col collapsed="false" customWidth="true" hidden="false" outlineLevel="0" max="3" min="3" style="2" width="7.53"/>
    <col collapsed="false" customWidth="true" hidden="false" outlineLevel="0" max="4" min="4" style="2" width="7.65"/>
    <col collapsed="false" customWidth="true" hidden="false" outlineLevel="0" max="5" min="5" style="2" width="9.35"/>
    <col collapsed="false" customWidth="true" hidden="false" outlineLevel="0" max="6" min="6" style="2" width="84.74"/>
    <col collapsed="false" customWidth="true" hidden="false" outlineLevel="0" max="7" min="7" style="2" width="1.81"/>
    <col collapsed="false" customWidth="true" hidden="false" outlineLevel="0" max="9" min="9" style="2" width="14.15"/>
    <col collapsed="false" customWidth="true" hidden="false" outlineLevel="0" max="10" min="10" style="2" width="10.13"/>
  </cols>
  <sheetData>
    <row r="1" customFormat="false" ht="13.8" hidden="false" customHeight="false" outlineLevel="0" collapsed="false">
      <c r="A1" s="16"/>
      <c r="B1" s="17" t="s">
        <v>41</v>
      </c>
      <c r="C1" s="18" t="n">
        <v>1</v>
      </c>
      <c r="D1" s="16"/>
      <c r="E1" s="17" t="s">
        <v>42</v>
      </c>
      <c r="F1" s="19" t="n">
        <v>46131</v>
      </c>
      <c r="G1" s="16"/>
    </row>
    <row r="2" customFormat="false" ht="13.8" hidden="false" customHeight="false" outlineLevel="0" collapsed="false">
      <c r="A2" s="16"/>
      <c r="B2" s="17" t="s">
        <v>43</v>
      </c>
      <c r="C2" s="20" t="s">
        <v>44</v>
      </c>
      <c r="D2" s="20"/>
      <c r="E2" s="20"/>
      <c r="F2" s="20"/>
      <c r="G2" s="21"/>
    </row>
    <row r="3" customFormat="false" ht="13.8" hidden="false" customHeight="false" outlineLevel="0" collapsed="false">
      <c r="A3" s="16"/>
      <c r="B3" s="16"/>
      <c r="C3" s="17"/>
      <c r="D3" s="16"/>
      <c r="E3" s="17" t="s">
        <v>45</v>
      </c>
      <c r="F3" s="22" t="s">
        <v>46</v>
      </c>
      <c r="G3" s="21"/>
    </row>
    <row r="4" customFormat="false" ht="13.8" hidden="false" customHeight="false" outlineLevel="0" collapsed="false">
      <c r="A4" s="16"/>
      <c r="B4" s="16"/>
      <c r="C4" s="16"/>
      <c r="D4" s="16"/>
      <c r="E4" s="16"/>
      <c r="F4" s="16"/>
      <c r="G4" s="16"/>
    </row>
    <row r="5" customFormat="false" ht="24.75" hidden="false" customHeight="true" outlineLevel="0" collapsed="false">
      <c r="A5" s="16"/>
      <c r="B5" s="23" t="s">
        <v>47</v>
      </c>
      <c r="C5" s="23" t="s">
        <v>48</v>
      </c>
      <c r="D5" s="23" t="s">
        <v>49</v>
      </c>
      <c r="E5" s="23" t="s">
        <v>50</v>
      </c>
      <c r="F5" s="23" t="s">
        <v>51</v>
      </c>
      <c r="G5" s="16"/>
      <c r="I5" s="24"/>
    </row>
    <row r="6" customFormat="false" ht="13.8" hidden="false" customHeight="false" outlineLevel="0" collapsed="false">
      <c r="A6" s="16"/>
      <c r="B6" s="25" t="s">
        <v>52</v>
      </c>
      <c r="C6" s="26" t="n">
        <v>645</v>
      </c>
      <c r="D6" s="26" t="n">
        <v>620</v>
      </c>
      <c r="E6" s="27" t="n">
        <f aca="false">C6/D6</f>
        <v>1.04032258064516</v>
      </c>
      <c r="F6" s="28" t="s">
        <v>53</v>
      </c>
      <c r="G6" s="16"/>
      <c r="J6" s="29"/>
    </row>
    <row r="7" customFormat="false" ht="13.8" hidden="false" customHeight="false" outlineLevel="0" collapsed="false">
      <c r="A7" s="16"/>
      <c r="B7" s="26"/>
      <c r="C7" s="26"/>
      <c r="D7" s="26"/>
      <c r="E7" s="27" t="e">
        <f aca="false">C7/D7</f>
        <v>#DIV/0!</v>
      </c>
      <c r="F7" s="30"/>
      <c r="G7" s="16"/>
      <c r="J7" s="29"/>
    </row>
    <row r="8" customFormat="false" ht="13.8" hidden="false" customHeight="false" outlineLevel="0" collapsed="false">
      <c r="A8" s="16"/>
      <c r="B8" s="26"/>
      <c r="C8" s="26"/>
      <c r="D8" s="26"/>
      <c r="E8" s="27" t="e">
        <f aca="false">C8/D8</f>
        <v>#DIV/0!</v>
      </c>
      <c r="F8" s="30"/>
      <c r="G8" s="16"/>
      <c r="J8" s="29"/>
    </row>
    <row r="9" customFormat="false" ht="13.8" hidden="false" customHeight="false" outlineLevel="0" collapsed="false">
      <c r="A9" s="16"/>
      <c r="B9" s="26"/>
      <c r="C9" s="26"/>
      <c r="D9" s="26"/>
      <c r="E9" s="27" t="e">
        <f aca="false">C9/D9</f>
        <v>#DIV/0!</v>
      </c>
      <c r="F9" s="30"/>
      <c r="G9" s="16"/>
      <c r="J9" s="29"/>
    </row>
    <row r="10" customFormat="false" ht="13.8" hidden="false" customHeight="false" outlineLevel="0" collapsed="false">
      <c r="A10" s="16"/>
      <c r="B10" s="26"/>
      <c r="C10" s="26"/>
      <c r="D10" s="26"/>
      <c r="E10" s="27" t="e">
        <f aca="false">C10/D10</f>
        <v>#DIV/0!</v>
      </c>
      <c r="F10" s="30"/>
      <c r="G10" s="16"/>
      <c r="J10" s="29"/>
    </row>
    <row r="11" customFormat="false" ht="13.8" hidden="false" customHeight="false" outlineLevel="0" collapsed="false">
      <c r="A11" s="16"/>
      <c r="B11" s="26"/>
      <c r="C11" s="26"/>
      <c r="D11" s="26"/>
      <c r="E11" s="27" t="e">
        <f aca="false">C11/D11</f>
        <v>#DIV/0!</v>
      </c>
      <c r="F11" s="30"/>
      <c r="G11" s="16"/>
      <c r="J11" s="29"/>
    </row>
    <row r="12" customFormat="false" ht="13.8" hidden="false" customHeight="false" outlineLevel="0" collapsed="false">
      <c r="A12" s="16"/>
      <c r="B12" s="26"/>
      <c r="C12" s="26"/>
      <c r="D12" s="26"/>
      <c r="E12" s="27" t="e">
        <f aca="false">C12/D12</f>
        <v>#DIV/0!</v>
      </c>
      <c r="F12" s="30"/>
      <c r="G12" s="16"/>
    </row>
    <row r="13" customFormat="false" ht="13.8" hidden="false" customHeight="false" outlineLevel="0" collapsed="false">
      <c r="A13" s="16"/>
      <c r="B13" s="26"/>
      <c r="C13" s="26"/>
      <c r="D13" s="26"/>
      <c r="E13" s="27" t="e">
        <f aca="false">C13/D13</f>
        <v>#DIV/0!</v>
      </c>
      <c r="F13" s="30"/>
      <c r="G13" s="16"/>
    </row>
    <row r="14" customFormat="false" ht="13.8" hidden="false" customHeight="false" outlineLevel="0" collapsed="false">
      <c r="A14" s="16"/>
      <c r="B14" s="26"/>
      <c r="C14" s="26"/>
      <c r="D14" s="26"/>
      <c r="E14" s="27" t="e">
        <f aca="false">C14/D14</f>
        <v>#DIV/0!</v>
      </c>
      <c r="F14" s="30"/>
      <c r="G14" s="16"/>
    </row>
    <row r="15" customFormat="false" ht="13.8" hidden="false" customHeight="false" outlineLevel="0" collapsed="false">
      <c r="A15" s="16"/>
      <c r="B15" s="26"/>
      <c r="C15" s="26"/>
      <c r="D15" s="26"/>
      <c r="E15" s="27" t="e">
        <f aca="false">C15/D15</f>
        <v>#DIV/0!</v>
      </c>
      <c r="F15" s="30"/>
      <c r="G15" s="16"/>
    </row>
    <row r="16" customFormat="false" ht="13.8" hidden="false" customHeight="false" outlineLevel="0" collapsed="false">
      <c r="A16" s="16"/>
      <c r="B16" s="26"/>
      <c r="C16" s="26"/>
      <c r="D16" s="26"/>
      <c r="E16" s="27" t="e">
        <f aca="false">C16/D16</f>
        <v>#DIV/0!</v>
      </c>
      <c r="F16" s="30"/>
      <c r="G16" s="16"/>
    </row>
    <row r="17" customFormat="false" ht="13.8" hidden="false" customHeight="false" outlineLevel="0" collapsed="false">
      <c r="A17" s="16"/>
      <c r="B17" s="26"/>
      <c r="C17" s="26"/>
      <c r="D17" s="26"/>
      <c r="E17" s="27" t="e">
        <f aca="false">C17/D17</f>
        <v>#DIV/0!</v>
      </c>
      <c r="F17" s="30"/>
      <c r="G17" s="16"/>
    </row>
    <row r="18" customFormat="false" ht="13.8" hidden="false" customHeight="false" outlineLevel="0" collapsed="false">
      <c r="A18" s="16"/>
      <c r="B18" s="26"/>
      <c r="C18" s="26"/>
      <c r="D18" s="26"/>
      <c r="E18" s="27" t="e">
        <f aca="false">C18/D18</f>
        <v>#DIV/0!</v>
      </c>
      <c r="F18" s="30"/>
      <c r="G18" s="16"/>
    </row>
    <row r="19" customFormat="false" ht="13.8" hidden="false" customHeight="false" outlineLevel="0" collapsed="false">
      <c r="A19" s="16"/>
      <c r="B19" s="26"/>
      <c r="C19" s="26"/>
      <c r="D19" s="26"/>
      <c r="E19" s="27" t="e">
        <f aca="false">C19/D19</f>
        <v>#DIV/0!</v>
      </c>
      <c r="F19" s="30"/>
      <c r="G19" s="16"/>
    </row>
    <row r="20" customFormat="false" ht="13.8" hidden="false" customHeight="false" outlineLevel="0" collapsed="false">
      <c r="A20" s="16"/>
      <c r="B20" s="26"/>
      <c r="C20" s="26"/>
      <c r="D20" s="26"/>
      <c r="E20" s="27" t="e">
        <f aca="false">C20/D20</f>
        <v>#DIV/0!</v>
      </c>
      <c r="F20" s="30"/>
      <c r="G20" s="16"/>
    </row>
    <row r="21" customFormat="false" ht="13.8" hidden="false" customHeight="false" outlineLevel="0" collapsed="false">
      <c r="A21" s="16"/>
      <c r="B21" s="26"/>
      <c r="C21" s="26"/>
      <c r="D21" s="26"/>
      <c r="E21" s="27" t="e">
        <f aca="false">C21/D21</f>
        <v>#DIV/0!</v>
      </c>
      <c r="F21" s="30"/>
      <c r="G21" s="16"/>
    </row>
    <row r="22" customFormat="false" ht="13.8" hidden="false" customHeight="false" outlineLevel="0" collapsed="false">
      <c r="A22" s="16"/>
      <c r="B22" s="26"/>
      <c r="C22" s="26"/>
      <c r="D22" s="26"/>
      <c r="E22" s="27" t="e">
        <f aca="false">C22/D22</f>
        <v>#DIV/0!</v>
      </c>
      <c r="F22" s="30"/>
      <c r="G22" s="16"/>
    </row>
    <row r="23" customFormat="false" ht="13.8" hidden="false" customHeight="false" outlineLevel="0" collapsed="false">
      <c r="A23" s="16"/>
      <c r="B23" s="26"/>
      <c r="C23" s="26"/>
      <c r="D23" s="26"/>
      <c r="E23" s="27" t="e">
        <f aca="false">C23/D23</f>
        <v>#DIV/0!</v>
      </c>
      <c r="F23" s="30"/>
      <c r="G23" s="16"/>
    </row>
    <row r="24" customFormat="false" ht="13.8" hidden="false" customHeight="false" outlineLevel="0" collapsed="false">
      <c r="A24" s="16"/>
      <c r="B24" s="26"/>
      <c r="C24" s="26"/>
      <c r="D24" s="26"/>
      <c r="E24" s="27" t="e">
        <f aca="false">C24/D24</f>
        <v>#DIV/0!</v>
      </c>
      <c r="F24" s="30"/>
      <c r="G24" s="16"/>
    </row>
    <row r="25" customFormat="false" ht="13.8" hidden="false" customHeight="false" outlineLevel="0" collapsed="false">
      <c r="A25" s="16"/>
      <c r="B25" s="26"/>
      <c r="C25" s="26"/>
      <c r="D25" s="26"/>
      <c r="E25" s="27" t="e">
        <f aca="false">C25/D25</f>
        <v>#DIV/0!</v>
      </c>
      <c r="F25" s="30"/>
      <c r="G25" s="16"/>
    </row>
    <row r="26" customFormat="false" ht="13.8" hidden="false" customHeight="false" outlineLevel="0" collapsed="false">
      <c r="A26" s="16"/>
      <c r="B26" s="26"/>
      <c r="C26" s="26"/>
      <c r="D26" s="26"/>
      <c r="E26" s="27" t="e">
        <f aca="false">C26/D26</f>
        <v>#DIV/0!</v>
      </c>
      <c r="F26" s="30"/>
      <c r="G26" s="16"/>
    </row>
    <row r="27" customFormat="false" ht="13.8" hidden="false" customHeight="false" outlineLevel="0" collapsed="false">
      <c r="A27" s="16"/>
      <c r="B27" s="26"/>
      <c r="C27" s="26"/>
      <c r="D27" s="26"/>
      <c r="E27" s="27" t="e">
        <f aca="false">C27/D27</f>
        <v>#DIV/0!</v>
      </c>
      <c r="F27" s="30"/>
      <c r="G27" s="16"/>
    </row>
    <row r="28" customFormat="false" ht="13.8" hidden="false" customHeight="false" outlineLevel="0" collapsed="false">
      <c r="A28" s="16"/>
      <c r="B28" s="26"/>
      <c r="C28" s="26"/>
      <c r="D28" s="26"/>
      <c r="E28" s="27" t="e">
        <f aca="false">C28/D28</f>
        <v>#DIV/0!</v>
      </c>
      <c r="F28" s="30"/>
      <c r="G28" s="16"/>
    </row>
    <row r="29" customFormat="false" ht="13.8" hidden="false" customHeight="false" outlineLevel="0" collapsed="false">
      <c r="A29" s="16"/>
      <c r="B29" s="26"/>
      <c r="C29" s="26"/>
      <c r="D29" s="26"/>
      <c r="E29" s="27" t="e">
        <f aca="false">C29/D29</f>
        <v>#DIV/0!</v>
      </c>
      <c r="F29" s="30"/>
      <c r="G29" s="16"/>
    </row>
    <row r="30" customFormat="false" ht="13.8" hidden="false" customHeight="false" outlineLevel="0" collapsed="false">
      <c r="A30" s="16"/>
      <c r="B30" s="16"/>
      <c r="C30" s="16"/>
      <c r="D30" s="16"/>
      <c r="E30" s="16"/>
      <c r="F30" s="16"/>
      <c r="G30" s="16"/>
    </row>
  </sheetData>
  <mergeCells count="1">
    <mergeCell ref="C2:F2"/>
  </mergeCells>
  <dataValidations count="2">
    <dataValidation allowBlank="true" error="Fazę reikia pasirinkti!" errorStyle="stop" errorTitle="Klaida" operator="between" prompt="fazę" promptTitle="Pasirinkite" showDropDown="false" showErrorMessage="true" showInputMessage="false" sqref="E6:E29" type="none">
      <formula1>0</formula1>
      <formula2>0</formula2>
    </dataValidation>
    <dataValidation allowBlank="true" error="Fazę reikia pasirinkti!" errorStyle="stop" errorTitle="Klaida" operator="between" prompt="fazę" promptTitle="Pasirinkite" showDropDown="false" showErrorMessage="true" showInputMessage="true" sqref="E30:E296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8.23828125" defaultRowHeight="12.75" customHeight="false" zeroHeight="false" outlineLevelRow="0" outlineLevelCol="0"/>
  <cols>
    <col collapsed="false" customWidth="true" hidden="false" outlineLevel="0" max="1" min="1" style="2" width="2.07"/>
    <col collapsed="false" customWidth="true" hidden="false" outlineLevel="0" max="2" min="2" style="2" width="14.68"/>
    <col collapsed="false" customWidth="true" hidden="false" outlineLevel="0" max="3" min="3" style="2" width="10.26"/>
    <col collapsed="false" customWidth="true" hidden="false" outlineLevel="0" max="4" min="4" style="2" width="30.25"/>
    <col collapsed="false" customWidth="true" hidden="false" outlineLevel="0" max="5" min="5" style="2" width="46.33"/>
    <col collapsed="false" customWidth="true" hidden="false" outlineLevel="0" max="8" min="6" style="2" width="5.19"/>
    <col collapsed="false" customWidth="true" hidden="false" outlineLevel="0" max="9" min="9" style="2" width="2.2"/>
    <col collapsed="false" customWidth="true" hidden="false" outlineLevel="0" max="11" min="11" style="2" width="14.15"/>
    <col collapsed="false" customWidth="true" hidden="false" outlineLevel="0" max="12" min="12" style="2" width="10.13"/>
  </cols>
  <sheetData>
    <row r="1" customFormat="false" ht="13.8" hidden="false" customHeight="false" outlineLevel="0" collapsed="false">
      <c r="A1" s="16"/>
      <c r="B1" s="17" t="s">
        <v>41</v>
      </c>
      <c r="C1" s="18" t="n">
        <v>1</v>
      </c>
      <c r="D1" s="16"/>
      <c r="E1" s="17" t="s">
        <v>42</v>
      </c>
      <c r="F1" s="19" t="n">
        <v>46131</v>
      </c>
      <c r="G1" s="19"/>
      <c r="H1" s="19"/>
      <c r="I1" s="16"/>
    </row>
    <row r="2" customFormat="false" ht="13.8" hidden="false" customHeight="false" outlineLevel="0" collapsed="false">
      <c r="A2" s="16"/>
      <c r="B2" s="17" t="s">
        <v>43</v>
      </c>
      <c r="C2" s="20" t="s">
        <v>44</v>
      </c>
      <c r="D2" s="20"/>
      <c r="E2" s="20"/>
      <c r="F2" s="20"/>
      <c r="G2" s="20"/>
      <c r="H2" s="20"/>
      <c r="I2" s="21"/>
    </row>
    <row r="3" customFormat="false" ht="13.8" hidden="false" customHeight="false" outlineLevel="0" collapsed="false">
      <c r="A3" s="16"/>
      <c r="B3" s="17" t="s">
        <v>54</v>
      </c>
      <c r="C3" s="25" t="s">
        <v>52</v>
      </c>
      <c r="D3" s="31"/>
      <c r="E3" s="17" t="s">
        <v>45</v>
      </c>
      <c r="F3" s="22" t="s">
        <v>46</v>
      </c>
      <c r="G3" s="22"/>
      <c r="H3" s="22"/>
      <c r="I3" s="21"/>
    </row>
    <row r="4" customFormat="false" ht="9.75" hidden="false" customHeight="true" outlineLevel="0" collapsed="false">
      <c r="A4" s="16"/>
      <c r="B4" s="16"/>
      <c r="C4" s="16"/>
      <c r="D4" s="16"/>
      <c r="E4" s="16"/>
      <c r="F4" s="16"/>
      <c r="G4" s="16"/>
      <c r="H4" s="16"/>
      <c r="I4" s="16"/>
    </row>
    <row r="5" customFormat="false" ht="14.25" hidden="false" customHeight="true" outlineLevel="0" collapsed="false">
      <c r="A5" s="16"/>
      <c r="B5" s="23" t="s">
        <v>47</v>
      </c>
      <c r="C5" s="23" t="s">
        <v>49</v>
      </c>
      <c r="D5" s="23" t="s">
        <v>55</v>
      </c>
      <c r="E5" s="23" t="s">
        <v>56</v>
      </c>
      <c r="F5" s="23" t="s">
        <v>57</v>
      </c>
      <c r="G5" s="23" t="s">
        <v>58</v>
      </c>
      <c r="H5" s="23" t="s">
        <v>59</v>
      </c>
      <c r="I5" s="16"/>
      <c r="K5" s="24"/>
    </row>
    <row r="6" customFormat="false" ht="13.8" hidden="false" customHeight="false" outlineLevel="0" collapsed="false">
      <c r="A6" s="16"/>
      <c r="B6" s="32" t="s">
        <v>52</v>
      </c>
      <c r="C6" s="32" t="n">
        <v>16</v>
      </c>
      <c r="D6" s="33" t="s">
        <v>60</v>
      </c>
      <c r="E6" s="28" t="s">
        <v>61</v>
      </c>
      <c r="F6" s="28" t="n">
        <v>5</v>
      </c>
      <c r="G6" s="34" t="n">
        <v>16</v>
      </c>
      <c r="H6" s="28" t="n">
        <v>30</v>
      </c>
      <c r="I6" s="16"/>
      <c r="L6" s="29"/>
    </row>
    <row r="7" customFormat="false" ht="16.4" hidden="false" customHeight="true" outlineLevel="0" collapsed="false">
      <c r="A7" s="16"/>
      <c r="B7" s="32" t="s">
        <v>52</v>
      </c>
      <c r="C7" s="32" t="n">
        <v>17</v>
      </c>
      <c r="D7" s="35" t="s">
        <v>62</v>
      </c>
      <c r="E7" s="30" t="s">
        <v>63</v>
      </c>
      <c r="F7" s="30" t="n">
        <v>7</v>
      </c>
      <c r="G7" s="34" t="n">
        <v>17</v>
      </c>
      <c r="H7" s="30" t="n">
        <v>30</v>
      </c>
      <c r="I7" s="16"/>
      <c r="L7" s="29"/>
    </row>
    <row r="8" customFormat="false" ht="13.8" hidden="false" customHeight="false" outlineLevel="0" collapsed="false">
      <c r="A8" s="16"/>
      <c r="B8" s="32" t="s">
        <v>52</v>
      </c>
      <c r="C8" s="32" t="n">
        <v>5</v>
      </c>
      <c r="D8" s="35" t="s">
        <v>64</v>
      </c>
      <c r="E8" s="30" t="s">
        <v>65</v>
      </c>
      <c r="F8" s="30" t="n">
        <v>3</v>
      </c>
      <c r="G8" s="34" t="n">
        <v>5</v>
      </c>
      <c r="H8" s="30" t="n">
        <v>25</v>
      </c>
      <c r="I8" s="16"/>
      <c r="L8" s="29"/>
    </row>
    <row r="9" customFormat="false" ht="13.8" hidden="false" customHeight="false" outlineLevel="0" collapsed="false">
      <c r="A9" s="16"/>
      <c r="B9" s="32" t="s">
        <v>52</v>
      </c>
      <c r="C9" s="32" t="n">
        <v>37</v>
      </c>
      <c r="D9" s="35" t="s">
        <v>66</v>
      </c>
      <c r="E9" s="30" t="s">
        <v>67</v>
      </c>
      <c r="F9" s="30" t="n">
        <v>10</v>
      </c>
      <c r="G9" s="34" t="n">
        <v>37</v>
      </c>
      <c r="H9" s="30" t="n">
        <v>50</v>
      </c>
      <c r="I9" s="16"/>
      <c r="L9" s="29"/>
    </row>
    <row r="10" customFormat="false" ht="19.4" hidden="false" customHeight="true" outlineLevel="0" collapsed="false">
      <c r="A10" s="16"/>
      <c r="B10" s="32" t="s">
        <v>52</v>
      </c>
      <c r="C10" s="32" t="n">
        <v>28</v>
      </c>
      <c r="D10" s="35" t="s">
        <v>68</v>
      </c>
      <c r="E10" s="30" t="s">
        <v>69</v>
      </c>
      <c r="F10" s="30" t="n">
        <v>7</v>
      </c>
      <c r="G10" s="34" t="n">
        <v>28</v>
      </c>
      <c r="H10" s="30" t="n">
        <v>50</v>
      </c>
      <c r="I10" s="16"/>
      <c r="L10" s="29"/>
    </row>
    <row r="11" customFormat="false" ht="18.65" hidden="false" customHeight="true" outlineLevel="0" collapsed="false">
      <c r="A11" s="16"/>
      <c r="B11" s="32" t="s">
        <v>52</v>
      </c>
      <c r="C11" s="32" t="n">
        <v>15</v>
      </c>
      <c r="D11" s="35" t="s">
        <v>70</v>
      </c>
      <c r="E11" s="30" t="s">
        <v>71</v>
      </c>
      <c r="F11" s="30" t="n">
        <v>6</v>
      </c>
      <c r="G11" s="34" t="n">
        <v>15</v>
      </c>
      <c r="H11" s="30" t="n">
        <v>20</v>
      </c>
      <c r="I11" s="16"/>
      <c r="L11" s="29"/>
    </row>
    <row r="12" customFormat="false" ht="13.8" hidden="false" customHeight="false" outlineLevel="0" collapsed="false">
      <c r="A12" s="16"/>
      <c r="B12" s="32" t="s">
        <v>52</v>
      </c>
      <c r="C12" s="32" t="n">
        <v>22</v>
      </c>
      <c r="D12" s="35" t="s">
        <v>72</v>
      </c>
      <c r="E12" s="30" t="s">
        <v>71</v>
      </c>
      <c r="F12" s="30" t="n">
        <v>6</v>
      </c>
      <c r="G12" s="34" t="n">
        <v>22</v>
      </c>
      <c r="H12" s="30" t="n">
        <v>30</v>
      </c>
      <c r="I12" s="16"/>
    </row>
    <row r="13" customFormat="false" ht="13.8" hidden="false" customHeight="false" outlineLevel="0" collapsed="false">
      <c r="A13" s="16"/>
      <c r="B13" s="32" t="s">
        <v>52</v>
      </c>
      <c r="C13" s="32" t="n">
        <v>10</v>
      </c>
      <c r="D13" s="35" t="s">
        <v>73</v>
      </c>
      <c r="E13" s="30" t="s">
        <v>74</v>
      </c>
      <c r="F13" s="30" t="n">
        <v>5</v>
      </c>
      <c r="G13" s="34" t="n">
        <v>10</v>
      </c>
      <c r="H13" s="30" t="n">
        <v>20</v>
      </c>
      <c r="I13" s="16"/>
    </row>
    <row r="14" customFormat="false" ht="13.8" hidden="false" customHeight="false" outlineLevel="0" collapsed="false">
      <c r="A14" s="16"/>
      <c r="B14" s="32" t="s">
        <v>52</v>
      </c>
      <c r="C14" s="32" t="n">
        <v>10</v>
      </c>
      <c r="D14" s="35" t="s">
        <v>75</v>
      </c>
      <c r="E14" s="30" t="s">
        <v>76</v>
      </c>
      <c r="F14" s="30" t="n">
        <v>5</v>
      </c>
      <c r="G14" s="34" t="n">
        <v>10</v>
      </c>
      <c r="H14" s="30" t="n">
        <v>30</v>
      </c>
      <c r="I14" s="16"/>
    </row>
    <row r="15" customFormat="false" ht="13.8" hidden="false" customHeight="false" outlineLevel="0" collapsed="false">
      <c r="A15" s="16"/>
      <c r="B15" s="32" t="s">
        <v>52</v>
      </c>
      <c r="C15" s="32" t="n">
        <v>131</v>
      </c>
      <c r="D15" s="35" t="s">
        <v>77</v>
      </c>
      <c r="E15" s="30" t="s">
        <v>78</v>
      </c>
      <c r="F15" s="30" t="n">
        <v>70</v>
      </c>
      <c r="G15" s="34" t="n">
        <v>131</v>
      </c>
      <c r="H15" s="30" t="n">
        <v>300</v>
      </c>
      <c r="I15" s="16"/>
    </row>
    <row r="16" customFormat="false" ht="13.8" hidden="false" customHeight="false" outlineLevel="0" collapsed="false">
      <c r="A16" s="16"/>
      <c r="B16" s="32" t="s">
        <v>52</v>
      </c>
      <c r="C16" s="32" t="n">
        <v>7</v>
      </c>
      <c r="D16" s="35" t="s">
        <v>79</v>
      </c>
      <c r="E16" s="30" t="s">
        <v>76</v>
      </c>
      <c r="F16" s="30" t="n">
        <v>5</v>
      </c>
      <c r="G16" s="34" t="n">
        <v>7</v>
      </c>
      <c r="H16" s="30" t="n">
        <v>15</v>
      </c>
      <c r="I16" s="16"/>
    </row>
    <row r="17" customFormat="false" ht="13.8" hidden="false" customHeight="false" outlineLevel="0" collapsed="false">
      <c r="A17" s="16"/>
      <c r="B17" s="32" t="s">
        <v>52</v>
      </c>
      <c r="C17" s="32" t="n">
        <v>5</v>
      </c>
      <c r="D17" s="35" t="s">
        <v>80</v>
      </c>
      <c r="E17" s="30" t="s">
        <v>81</v>
      </c>
      <c r="F17" s="30" t="n">
        <v>3</v>
      </c>
      <c r="G17" s="34" t="n">
        <v>5</v>
      </c>
      <c r="H17" s="30" t="n">
        <v>10</v>
      </c>
      <c r="I17" s="16"/>
    </row>
    <row r="18" customFormat="false" ht="13.8" hidden="false" customHeight="false" outlineLevel="0" collapsed="false">
      <c r="A18" s="16"/>
      <c r="B18" s="32" t="s">
        <v>52</v>
      </c>
      <c r="C18" s="32" t="n">
        <v>25</v>
      </c>
      <c r="D18" s="35" t="s">
        <v>82</v>
      </c>
      <c r="E18" s="30" t="s">
        <v>83</v>
      </c>
      <c r="F18" s="30" t="n">
        <v>10</v>
      </c>
      <c r="G18" s="34" t="n">
        <v>25</v>
      </c>
      <c r="H18" s="30" t="n">
        <v>50</v>
      </c>
      <c r="I18" s="16"/>
    </row>
    <row r="19" customFormat="false" ht="13.8" hidden="false" customHeight="false" outlineLevel="0" collapsed="false">
      <c r="A19" s="16"/>
      <c r="B19" s="32" t="s">
        <v>52</v>
      </c>
      <c r="C19" s="32" t="n">
        <v>30</v>
      </c>
      <c r="D19" s="35" t="s">
        <v>84</v>
      </c>
      <c r="E19" s="30" t="s">
        <v>85</v>
      </c>
      <c r="F19" s="30" t="n">
        <v>15</v>
      </c>
      <c r="G19" s="34" t="n">
        <v>30</v>
      </c>
      <c r="H19" s="30" t="n">
        <v>50</v>
      </c>
      <c r="I19" s="16"/>
    </row>
    <row r="20" customFormat="false" ht="13.8" hidden="false" customHeight="false" outlineLevel="0" collapsed="false">
      <c r="A20" s="16"/>
      <c r="B20" s="32"/>
      <c r="C20" s="32"/>
      <c r="D20" s="35"/>
      <c r="E20" s="30"/>
      <c r="F20" s="30"/>
      <c r="G20" s="30"/>
      <c r="H20" s="30"/>
      <c r="I20" s="16"/>
    </row>
    <row r="21" customFormat="false" ht="13.8" hidden="false" customHeight="false" outlineLevel="0" collapsed="false">
      <c r="A21" s="16"/>
      <c r="B21" s="32"/>
      <c r="C21" s="32"/>
      <c r="D21" s="35"/>
      <c r="E21" s="30"/>
      <c r="F21" s="30"/>
      <c r="G21" s="30"/>
      <c r="H21" s="30"/>
      <c r="I21" s="16"/>
    </row>
    <row r="22" customFormat="false" ht="13.8" hidden="false" customHeight="false" outlineLevel="0" collapsed="false">
      <c r="A22" s="16"/>
      <c r="B22" s="32"/>
      <c r="C22" s="32"/>
      <c r="D22" s="35"/>
      <c r="E22" s="30"/>
      <c r="F22" s="30"/>
      <c r="G22" s="30"/>
      <c r="H22" s="30"/>
      <c r="I22" s="16"/>
    </row>
    <row r="23" customFormat="false" ht="13.8" hidden="false" customHeight="false" outlineLevel="0" collapsed="false">
      <c r="A23" s="16"/>
      <c r="B23" s="32"/>
      <c r="C23" s="32"/>
      <c r="D23" s="35"/>
      <c r="E23" s="30"/>
      <c r="F23" s="30"/>
      <c r="G23" s="30"/>
      <c r="H23" s="30"/>
      <c r="I23" s="16"/>
    </row>
    <row r="24" customFormat="false" ht="13.8" hidden="false" customHeight="false" outlineLevel="0" collapsed="false">
      <c r="A24" s="16"/>
      <c r="B24" s="32"/>
      <c r="C24" s="32"/>
      <c r="D24" s="35"/>
      <c r="E24" s="30"/>
      <c r="F24" s="30"/>
      <c r="G24" s="30"/>
      <c r="H24" s="30"/>
      <c r="I24" s="16"/>
    </row>
    <row r="25" customFormat="false" ht="13.8" hidden="false" customHeight="false" outlineLevel="0" collapsed="false">
      <c r="A25" s="16"/>
      <c r="B25" s="32"/>
      <c r="C25" s="32"/>
      <c r="D25" s="35"/>
      <c r="E25" s="30"/>
      <c r="F25" s="30"/>
      <c r="G25" s="30"/>
      <c r="H25" s="30"/>
      <c r="I25" s="16"/>
    </row>
    <row r="26" customFormat="false" ht="13.8" hidden="false" customHeight="false" outlineLevel="0" collapsed="false">
      <c r="A26" s="16"/>
      <c r="B26" s="32"/>
      <c r="C26" s="32"/>
      <c r="D26" s="35"/>
      <c r="E26" s="30"/>
      <c r="F26" s="30"/>
      <c r="G26" s="30"/>
      <c r="H26" s="30"/>
      <c r="I26" s="16"/>
    </row>
    <row r="27" customFormat="false" ht="13.8" hidden="false" customHeight="false" outlineLevel="0" collapsed="false">
      <c r="A27" s="16"/>
      <c r="B27" s="32"/>
      <c r="C27" s="32"/>
      <c r="D27" s="35"/>
      <c r="E27" s="30"/>
      <c r="F27" s="30"/>
      <c r="G27" s="30"/>
      <c r="H27" s="30"/>
      <c r="I27" s="16"/>
    </row>
    <row r="28" customFormat="false" ht="13.8" hidden="false" customHeight="false" outlineLevel="0" collapsed="false">
      <c r="A28" s="16"/>
      <c r="B28" s="32"/>
      <c r="C28" s="32"/>
      <c r="D28" s="35"/>
      <c r="E28" s="30"/>
      <c r="F28" s="30"/>
      <c r="G28" s="30"/>
      <c r="H28" s="30"/>
      <c r="I28" s="16"/>
    </row>
    <row r="29" customFormat="false" ht="13.8" hidden="false" customHeight="false" outlineLevel="0" collapsed="false">
      <c r="A29" s="16"/>
      <c r="B29" s="36" t="s">
        <v>86</v>
      </c>
      <c r="C29" s="36"/>
      <c r="D29" s="36"/>
      <c r="E29" s="36"/>
      <c r="F29" s="37" t="n">
        <f aca="false">SUM(F6:F28)</f>
        <v>157</v>
      </c>
      <c r="G29" s="37" t="n">
        <f aca="false">SUM(G6:G28)</f>
        <v>358</v>
      </c>
      <c r="H29" s="37" t="n">
        <f aca="false">SUM(H6:H28)</f>
        <v>710</v>
      </c>
      <c r="I29" s="16"/>
    </row>
    <row r="30" customFormat="false" ht="15" hidden="false" customHeight="true" outlineLevel="0" collapsed="false">
      <c r="A30" s="16"/>
      <c r="B30" s="38" t="s">
        <v>87</v>
      </c>
      <c r="C30" s="16"/>
      <c r="D30" s="16"/>
      <c r="E30" s="16"/>
      <c r="F30" s="16"/>
      <c r="G30" s="16"/>
      <c r="H30" s="16"/>
      <c r="I30" s="16"/>
    </row>
    <row r="31" customFormat="false" ht="61.5" hidden="false" customHeight="true" outlineLevel="0" collapsed="false">
      <c r="A31" s="16"/>
      <c r="B31" s="39"/>
      <c r="C31" s="39"/>
      <c r="D31" s="39"/>
      <c r="E31" s="39"/>
      <c r="F31" s="39"/>
      <c r="G31" s="39"/>
      <c r="H31" s="39"/>
      <c r="I31" s="16"/>
    </row>
    <row r="32" customFormat="false" ht="13.8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</row>
  </sheetData>
  <mergeCells count="5">
    <mergeCell ref="F1:H1"/>
    <mergeCell ref="C2:H2"/>
    <mergeCell ref="F3:H3"/>
    <mergeCell ref="B29:E29"/>
    <mergeCell ref="B31:H31"/>
  </mergeCells>
  <dataValidations count="1">
    <dataValidation allowBlank="true" error="Fazę reikia pasirinkti!" errorStyle="stop" errorTitle="Klaida" operator="between" prompt="fazę" promptTitle="Pasirinkite" showDropDown="false" showErrorMessage="true" showInputMessage="true" sqref="E30:E29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23828125" defaultRowHeight="12.9" customHeight="false" zeroHeight="false" outlineLevelRow="0" outlineLevelCol="0"/>
  <cols>
    <col collapsed="false" customWidth="true" hidden="false" outlineLevel="0" max="1" min="1" style="2" width="3.38"/>
    <col collapsed="false" customWidth="true" hidden="false" outlineLevel="0" max="2" min="2" style="2" width="17.77"/>
    <col collapsed="false" customWidth="true" hidden="false" outlineLevel="0" max="3" min="3" style="2" width="13.64"/>
    <col collapsed="false" customWidth="true" hidden="false" outlineLevel="0" max="4" min="4" style="2" width="14.3"/>
    <col collapsed="false" customWidth="true" hidden="false" outlineLevel="0" max="5" min="5" style="2" width="13.64"/>
    <col collapsed="false" customWidth="true" hidden="false" outlineLevel="0" max="6" min="6" style="2" width="11.82"/>
    <col collapsed="false" customWidth="true" hidden="false" outlineLevel="0" max="7" min="7" style="2" width="2.56"/>
  </cols>
  <sheetData>
    <row r="1" customFormat="false" ht="19.5" hidden="false" customHeight="true" outlineLevel="0" collapsed="false">
      <c r="A1" s="40" t="s">
        <v>88</v>
      </c>
      <c r="B1" s="40"/>
      <c r="C1" s="40"/>
      <c r="D1" s="40"/>
      <c r="E1" s="40"/>
      <c r="F1" s="40"/>
      <c r="G1" s="40"/>
    </row>
    <row r="2" customFormat="false" ht="13.8" hidden="false" customHeight="false" outlineLevel="0" collapsed="false">
      <c r="A2" s="16"/>
      <c r="B2" s="17" t="s">
        <v>41</v>
      </c>
      <c r="C2" s="18" t="n">
        <v>1</v>
      </c>
      <c r="D2" s="17" t="s">
        <v>42</v>
      </c>
      <c r="E2" s="41" t="n">
        <v>46128</v>
      </c>
      <c r="F2" s="42"/>
      <c r="G2" s="16"/>
    </row>
    <row r="3" customFormat="false" ht="13.8" hidden="false" customHeight="false" outlineLevel="0" collapsed="false">
      <c r="A3" s="16"/>
      <c r="B3" s="17" t="s">
        <v>43</v>
      </c>
      <c r="C3" s="20" t="s">
        <v>44</v>
      </c>
      <c r="D3" s="20"/>
      <c r="E3" s="20"/>
      <c r="F3" s="20"/>
      <c r="G3" s="16"/>
    </row>
    <row r="4" customFormat="false" ht="13.8" hidden="false" customHeight="false" outlineLevel="0" collapsed="false">
      <c r="A4" s="16"/>
      <c r="B4" s="17" t="s">
        <v>89</v>
      </c>
      <c r="C4" s="25" t="s">
        <v>52</v>
      </c>
      <c r="D4" s="21"/>
      <c r="E4" s="17" t="s">
        <v>45</v>
      </c>
      <c r="F4" s="43" t="s">
        <v>46</v>
      </c>
      <c r="G4" s="16"/>
    </row>
    <row r="5" customFormat="false" ht="24.05" hidden="false" customHeight="true" outlineLevel="0" collapsed="false">
      <c r="A5" s="16"/>
      <c r="B5" s="44" t="s">
        <v>90</v>
      </c>
      <c r="C5" s="45" t="s">
        <v>91</v>
      </c>
      <c r="D5" s="45"/>
      <c r="E5" s="45"/>
      <c r="F5" s="45"/>
      <c r="G5" s="16"/>
    </row>
    <row r="6" customFormat="false" ht="9.8" hidden="false" customHeight="true" outlineLevel="0" collapsed="false">
      <c r="A6" s="16"/>
      <c r="B6" s="16"/>
      <c r="C6" s="16"/>
      <c r="D6" s="16"/>
      <c r="E6" s="16"/>
      <c r="F6" s="16"/>
      <c r="G6" s="16"/>
    </row>
    <row r="7" customFormat="false" ht="13.8" hidden="false" customHeight="false" outlineLevel="0" collapsed="false">
      <c r="A7" s="46" t="s">
        <v>92</v>
      </c>
      <c r="B7" s="46"/>
      <c r="C7" s="47" t="s">
        <v>93</v>
      </c>
      <c r="D7" s="47" t="s">
        <v>94</v>
      </c>
      <c r="E7" s="47" t="s">
        <v>95</v>
      </c>
      <c r="F7" s="48"/>
      <c r="G7" s="16"/>
    </row>
    <row r="8" customFormat="false" ht="13.8" hidden="false" customHeight="false" outlineLevel="0" collapsed="false">
      <c r="A8" s="49"/>
      <c r="B8" s="50" t="s">
        <v>50</v>
      </c>
      <c r="C8" s="26" t="n">
        <v>1.04</v>
      </c>
      <c r="D8" s="51" t="n">
        <f aca="false">D22/D11</f>
        <v>0.846774193548387</v>
      </c>
      <c r="E8" s="51" t="n">
        <f aca="false">E22/E11</f>
        <v>0.846774193548387</v>
      </c>
      <c r="F8" s="52"/>
      <c r="G8" s="16"/>
    </row>
    <row r="9" customFormat="false" ht="13.8" hidden="false" customHeight="false" outlineLevel="0" collapsed="false">
      <c r="A9" s="49"/>
      <c r="B9" s="50" t="s">
        <v>96</v>
      </c>
      <c r="C9" s="51" t="n">
        <f aca="false">60/C8</f>
        <v>57.6923076923077</v>
      </c>
      <c r="D9" s="51" t="n">
        <f aca="false">60/D8</f>
        <v>70.8571428571429</v>
      </c>
      <c r="E9" s="51" t="n">
        <f aca="false">60/E8</f>
        <v>70.8571428571429</v>
      </c>
      <c r="F9" s="52"/>
      <c r="G9" s="16"/>
    </row>
    <row r="10" customFormat="false" ht="13.8" hidden="false" customHeight="false" outlineLevel="0" collapsed="false">
      <c r="A10" s="46" t="s">
        <v>97</v>
      </c>
      <c r="B10" s="46"/>
      <c r="C10" s="46"/>
      <c r="D10" s="46"/>
      <c r="E10" s="46"/>
      <c r="F10" s="48"/>
      <c r="G10" s="16"/>
    </row>
    <row r="11" customFormat="false" ht="13.8" hidden="false" customHeight="false" outlineLevel="0" collapsed="false">
      <c r="A11" s="49"/>
      <c r="B11" s="50" t="s">
        <v>98</v>
      </c>
      <c r="C11" s="26" t="n">
        <v>358</v>
      </c>
      <c r="D11" s="26" t="n">
        <v>620</v>
      </c>
      <c r="E11" s="26" t="n">
        <v>620</v>
      </c>
      <c r="F11" s="52"/>
      <c r="G11" s="16"/>
    </row>
    <row r="12" customFormat="false" ht="13.8" hidden="false" customHeight="false" outlineLevel="0" collapsed="false">
      <c r="A12" s="49"/>
      <c r="B12" s="50" t="s">
        <v>99</v>
      </c>
      <c r="C12" s="26" t="n">
        <v>720</v>
      </c>
      <c r="D12" s="53"/>
      <c r="E12" s="53"/>
      <c r="F12" s="52"/>
      <c r="G12" s="16"/>
    </row>
    <row r="13" customFormat="false" ht="13.8" hidden="false" customHeight="false" outlineLevel="0" collapsed="false">
      <c r="A13" s="49"/>
      <c r="B13" s="50" t="s">
        <v>100</v>
      </c>
      <c r="C13" s="26" t="n">
        <v>157</v>
      </c>
      <c r="D13" s="53"/>
      <c r="E13" s="53"/>
      <c r="F13" s="52"/>
      <c r="G13" s="16"/>
    </row>
    <row r="14" customFormat="false" ht="13.8" hidden="false" customHeight="false" outlineLevel="0" collapsed="false">
      <c r="A14" s="46" t="s">
        <v>101</v>
      </c>
      <c r="B14" s="46"/>
      <c r="C14" s="47" t="s">
        <v>93</v>
      </c>
      <c r="D14" s="47" t="s">
        <v>94</v>
      </c>
      <c r="E14" s="47" t="s">
        <v>95</v>
      </c>
      <c r="F14" s="47" t="s">
        <v>102</v>
      </c>
      <c r="G14" s="16"/>
    </row>
    <row r="15" customFormat="false" ht="13.8" hidden="false" customHeight="false" outlineLevel="0" collapsed="false">
      <c r="A15" s="49"/>
      <c r="B15" s="50" t="s">
        <v>103</v>
      </c>
      <c r="C15" s="26" t="n">
        <v>30</v>
      </c>
      <c r="D15" s="26" t="n">
        <v>30</v>
      </c>
      <c r="E15" s="26" t="n">
        <v>30</v>
      </c>
      <c r="F15" s="54" t="n">
        <f aca="false">E15/E22</f>
        <v>0.0571428571428571</v>
      </c>
      <c r="G15" s="16"/>
    </row>
    <row r="16" customFormat="false" ht="13.8" hidden="false" customHeight="false" outlineLevel="0" collapsed="false">
      <c r="A16" s="49"/>
      <c r="B16" s="50" t="s">
        <v>13</v>
      </c>
      <c r="C16" s="26" t="n">
        <v>30</v>
      </c>
      <c r="D16" s="26" t="n">
        <v>45</v>
      </c>
      <c r="E16" s="26" t="n">
        <v>45</v>
      </c>
      <c r="F16" s="54" t="n">
        <f aca="false">E16/E22</f>
        <v>0.0857142857142857</v>
      </c>
      <c r="G16" s="16"/>
    </row>
    <row r="17" customFormat="false" ht="13.8" hidden="false" customHeight="false" outlineLevel="0" collapsed="false">
      <c r="A17" s="49"/>
      <c r="B17" s="50" t="s">
        <v>104</v>
      </c>
      <c r="C17" s="26" t="n">
        <v>240</v>
      </c>
      <c r="D17" s="26" t="n">
        <v>360</v>
      </c>
      <c r="E17" s="26" t="n">
        <v>360</v>
      </c>
      <c r="F17" s="54" t="n">
        <f aca="false">E17/E22</f>
        <v>0.685714285714286</v>
      </c>
      <c r="G17" s="16"/>
    </row>
    <row r="18" customFormat="false" ht="13.8" hidden="false" customHeight="false" outlineLevel="0" collapsed="false">
      <c r="A18" s="49"/>
      <c r="B18" s="55" t="s">
        <v>105</v>
      </c>
      <c r="C18" s="26" t="n">
        <v>30</v>
      </c>
      <c r="D18" s="26" t="n">
        <v>40</v>
      </c>
      <c r="E18" s="26" t="n">
        <v>40</v>
      </c>
      <c r="F18" s="54" t="n">
        <f aca="false">E18/E22</f>
        <v>0.0761904761904762</v>
      </c>
      <c r="G18" s="16"/>
    </row>
    <row r="19" customFormat="false" ht="13.8" hidden="false" customHeight="false" outlineLevel="0" collapsed="false">
      <c r="A19" s="49"/>
      <c r="B19" s="50" t="s">
        <v>106</v>
      </c>
      <c r="C19" s="26" t="n">
        <v>0</v>
      </c>
      <c r="D19" s="26" t="n">
        <v>0</v>
      </c>
      <c r="E19" s="26" t="n">
        <v>0</v>
      </c>
      <c r="F19" s="54" t="n">
        <f aca="false">E19/E22</f>
        <v>0</v>
      </c>
      <c r="G19" s="16"/>
    </row>
    <row r="20" customFormat="false" ht="13.8" hidden="false" customHeight="false" outlineLevel="0" collapsed="false">
      <c r="A20" s="49"/>
      <c r="B20" s="50" t="s">
        <v>20</v>
      </c>
      <c r="C20" s="26" t="n">
        <v>30</v>
      </c>
      <c r="D20" s="26" t="n">
        <v>50</v>
      </c>
      <c r="E20" s="26" t="n">
        <v>50</v>
      </c>
      <c r="F20" s="54" t="n">
        <f aca="false">E20/E22</f>
        <v>0.0952380952380952</v>
      </c>
      <c r="G20" s="16"/>
    </row>
    <row r="21" customFormat="false" ht="13.8" hidden="false" customHeight="false" outlineLevel="0" collapsed="false">
      <c r="A21" s="49"/>
      <c r="B21" s="50" t="s">
        <v>107</v>
      </c>
      <c r="C21" s="26" t="n">
        <v>0</v>
      </c>
      <c r="D21" s="26" t="n">
        <v>0</v>
      </c>
      <c r="E21" s="26" t="n">
        <v>0</v>
      </c>
      <c r="F21" s="54" t="n">
        <f aca="false">E21/E22</f>
        <v>0</v>
      </c>
      <c r="G21" s="16"/>
    </row>
    <row r="22" customFormat="false" ht="13.45" hidden="false" customHeight="false" outlineLevel="0" collapsed="false">
      <c r="A22" s="49"/>
      <c r="B22" s="56" t="s">
        <v>108</v>
      </c>
      <c r="C22" s="57" t="n">
        <f aca="false">SUM(C15:C21)</f>
        <v>360</v>
      </c>
      <c r="D22" s="57" t="n">
        <f aca="false">SUM(D15:D21)</f>
        <v>525</v>
      </c>
      <c r="E22" s="57" t="n">
        <f aca="false">SUM(E15:E21)</f>
        <v>525</v>
      </c>
      <c r="F22" s="54" t="n">
        <f aca="false">SUM(F15:F21)</f>
        <v>1</v>
      </c>
      <c r="G22" s="16"/>
    </row>
    <row r="23" customFormat="false" ht="13.8" hidden="false" customHeight="false" outlineLevel="0" collapsed="false">
      <c r="A23" s="49"/>
      <c r="B23" s="58" t="s">
        <v>109</v>
      </c>
      <c r="C23" s="57" t="n">
        <f aca="false">ROUND(C11*C8,0)</f>
        <v>372</v>
      </c>
      <c r="D23" s="53"/>
      <c r="E23" s="53"/>
      <c r="F23" s="53"/>
      <c r="G23" s="16"/>
    </row>
    <row r="24" customFormat="false" ht="13.8" hidden="false" customHeight="false" outlineLevel="0" collapsed="false">
      <c r="A24" s="49"/>
      <c r="B24" s="58" t="s">
        <v>110</v>
      </c>
      <c r="C24" s="57" t="n">
        <f aca="false">ROUND(C12*C8,0)</f>
        <v>749</v>
      </c>
      <c r="D24" s="53"/>
      <c r="E24" s="53"/>
      <c r="F24" s="53"/>
      <c r="G24" s="16"/>
    </row>
    <row r="25" customFormat="false" ht="13.8" hidden="false" customHeight="false" outlineLevel="0" collapsed="false">
      <c r="A25" s="49"/>
      <c r="B25" s="58" t="s">
        <v>111</v>
      </c>
      <c r="C25" s="57" t="n">
        <f aca="false">ROUND(C13*C8,0)</f>
        <v>163</v>
      </c>
      <c r="D25" s="53"/>
      <c r="E25" s="53"/>
      <c r="F25" s="53"/>
      <c r="G25" s="16"/>
    </row>
    <row r="26" customFormat="false" ht="13.8" hidden="false" customHeight="false" outlineLevel="0" collapsed="false">
      <c r="A26" s="59" t="s">
        <v>112</v>
      </c>
      <c r="B26" s="59"/>
      <c r="C26" s="51"/>
      <c r="D26" s="60" t="s">
        <v>94</v>
      </c>
      <c r="E26" s="60" t="s">
        <v>95</v>
      </c>
      <c r="F26" s="60" t="s">
        <v>102</v>
      </c>
      <c r="G26" s="16"/>
    </row>
    <row r="27" customFormat="false" ht="13.8" hidden="false" customHeight="false" outlineLevel="0" collapsed="false">
      <c r="A27" s="49"/>
      <c r="B27" s="55" t="s">
        <v>103</v>
      </c>
      <c r="C27" s="61" t="s">
        <v>113</v>
      </c>
      <c r="D27" s="26" t="n">
        <v>0</v>
      </c>
      <c r="E27" s="26" t="n">
        <v>0</v>
      </c>
      <c r="F27" s="54" t="n">
        <f aca="false">E27/E33</f>
        <v>0</v>
      </c>
      <c r="G27" s="16"/>
    </row>
    <row r="28" customFormat="false" ht="13.8" hidden="false" customHeight="false" outlineLevel="0" collapsed="false">
      <c r="A28" s="49"/>
      <c r="B28" s="55" t="s">
        <v>13</v>
      </c>
      <c r="C28" s="61" t="s">
        <v>113</v>
      </c>
      <c r="D28" s="26" t="n">
        <v>0</v>
      </c>
      <c r="E28" s="26" t="n">
        <v>0</v>
      </c>
      <c r="F28" s="54" t="n">
        <f aca="false">E28/E33</f>
        <v>0</v>
      </c>
      <c r="G28" s="16"/>
    </row>
    <row r="29" customFormat="false" ht="13.8" hidden="false" customHeight="false" outlineLevel="0" collapsed="false">
      <c r="A29" s="49"/>
      <c r="B29" s="55" t="s">
        <v>104</v>
      </c>
      <c r="C29" s="61" t="s">
        <v>113</v>
      </c>
      <c r="D29" s="26" t="n">
        <v>3</v>
      </c>
      <c r="E29" s="26" t="n">
        <v>3</v>
      </c>
      <c r="F29" s="54" t="n">
        <f aca="false">E29/E33</f>
        <v>1</v>
      </c>
      <c r="G29" s="16"/>
    </row>
    <row r="30" customFormat="false" ht="13.8" hidden="false" customHeight="false" outlineLevel="0" collapsed="false">
      <c r="A30" s="49"/>
      <c r="B30" s="55" t="s">
        <v>105</v>
      </c>
      <c r="C30" s="61" t="s">
        <v>113</v>
      </c>
      <c r="D30" s="26" t="n">
        <v>0</v>
      </c>
      <c r="E30" s="26" t="n">
        <v>0</v>
      </c>
      <c r="F30" s="54" t="n">
        <f aca="false">E30/E33</f>
        <v>0</v>
      </c>
      <c r="G30" s="16"/>
    </row>
    <row r="31" customFormat="false" ht="13.8" hidden="false" customHeight="false" outlineLevel="0" collapsed="false">
      <c r="A31" s="49"/>
      <c r="B31" s="55" t="s">
        <v>106</v>
      </c>
      <c r="C31" s="61" t="s">
        <v>113</v>
      </c>
      <c r="D31" s="26" t="n">
        <v>0</v>
      </c>
      <c r="E31" s="26" t="n">
        <v>0</v>
      </c>
      <c r="F31" s="54" t="n">
        <f aca="false">E31/E33</f>
        <v>0</v>
      </c>
      <c r="G31" s="16"/>
    </row>
    <row r="32" customFormat="false" ht="13.8" hidden="false" customHeight="false" outlineLevel="0" collapsed="false">
      <c r="A32" s="49"/>
      <c r="B32" s="55" t="s">
        <v>20</v>
      </c>
      <c r="C32" s="61" t="s">
        <v>113</v>
      </c>
      <c r="D32" s="26" t="n">
        <v>0</v>
      </c>
      <c r="E32" s="26" t="n">
        <v>0</v>
      </c>
      <c r="F32" s="54" t="n">
        <f aca="false">E32/E33</f>
        <v>0</v>
      </c>
      <c r="G32" s="16"/>
    </row>
    <row r="33" customFormat="false" ht="13.8" hidden="false" customHeight="false" outlineLevel="0" collapsed="false">
      <c r="A33" s="49"/>
      <c r="B33" s="56" t="s">
        <v>114</v>
      </c>
      <c r="C33" s="61" t="s">
        <v>113</v>
      </c>
      <c r="D33" s="57" t="n">
        <f aca="false">SUM(D27:D32)</f>
        <v>3</v>
      </c>
      <c r="E33" s="57" t="n">
        <f aca="false">SUM(E27:E32)</f>
        <v>3</v>
      </c>
      <c r="F33" s="54" t="n">
        <f aca="false">SUM(F27:F32)</f>
        <v>1</v>
      </c>
      <c r="G33" s="16"/>
    </row>
    <row r="34" customFormat="false" ht="13.8" hidden="false" customHeight="false" outlineLevel="0" collapsed="false">
      <c r="A34" s="59" t="s">
        <v>115</v>
      </c>
      <c r="B34" s="59"/>
      <c r="C34" s="16"/>
      <c r="D34" s="62" t="s">
        <v>94</v>
      </c>
      <c r="E34" s="62" t="s">
        <v>95</v>
      </c>
      <c r="F34" s="62" t="s">
        <v>102</v>
      </c>
      <c r="G34" s="16"/>
    </row>
    <row r="35" customFormat="false" ht="13.8" hidden="false" customHeight="false" outlineLevel="0" collapsed="false">
      <c r="A35" s="49"/>
      <c r="B35" s="50" t="s">
        <v>103</v>
      </c>
      <c r="C35" s="61" t="s">
        <v>113</v>
      </c>
      <c r="D35" s="26" t="n">
        <v>0</v>
      </c>
      <c r="E35" s="26" t="n">
        <v>0</v>
      </c>
      <c r="F35" s="54" t="n">
        <f aca="false">E35/E41</f>
        <v>0</v>
      </c>
      <c r="G35" s="16"/>
    </row>
    <row r="36" customFormat="false" ht="13.8" hidden="false" customHeight="false" outlineLevel="0" collapsed="false">
      <c r="A36" s="49"/>
      <c r="B36" s="50" t="s">
        <v>13</v>
      </c>
      <c r="C36" s="61" t="s">
        <v>113</v>
      </c>
      <c r="D36" s="26" t="n">
        <v>0</v>
      </c>
      <c r="E36" s="26" t="n">
        <v>0</v>
      </c>
      <c r="F36" s="54" t="n">
        <f aca="false">E36/E41</f>
        <v>0</v>
      </c>
      <c r="G36" s="16"/>
    </row>
    <row r="37" customFormat="false" ht="13.8" hidden="false" customHeight="false" outlineLevel="0" collapsed="false">
      <c r="A37" s="49"/>
      <c r="B37" s="50" t="s">
        <v>104</v>
      </c>
      <c r="C37" s="61" t="s">
        <v>113</v>
      </c>
      <c r="D37" s="26" t="n">
        <v>1</v>
      </c>
      <c r="E37" s="26" t="n">
        <v>1</v>
      </c>
      <c r="F37" s="54" t="n">
        <f aca="false">E37/E41</f>
        <v>0.333333333333333</v>
      </c>
      <c r="G37" s="16"/>
    </row>
    <row r="38" customFormat="false" ht="13.8" hidden="false" customHeight="false" outlineLevel="0" collapsed="false">
      <c r="A38" s="49"/>
      <c r="B38" s="55" t="s">
        <v>105</v>
      </c>
      <c r="C38" s="61" t="s">
        <v>113</v>
      </c>
      <c r="D38" s="26" t="n">
        <v>0</v>
      </c>
      <c r="E38" s="26" t="n">
        <v>0</v>
      </c>
      <c r="F38" s="54" t="n">
        <f aca="false">E38/E41</f>
        <v>0</v>
      </c>
      <c r="G38" s="16"/>
    </row>
    <row r="39" customFormat="false" ht="13.8" hidden="false" customHeight="false" outlineLevel="0" collapsed="false">
      <c r="A39" s="49"/>
      <c r="B39" s="50" t="s">
        <v>106</v>
      </c>
      <c r="C39" s="61" t="s">
        <v>113</v>
      </c>
      <c r="D39" s="26" t="n">
        <v>0</v>
      </c>
      <c r="E39" s="26" t="n">
        <v>0</v>
      </c>
      <c r="F39" s="54" t="n">
        <f aca="false">E39/E41</f>
        <v>0</v>
      </c>
      <c r="G39" s="16"/>
    </row>
    <row r="40" customFormat="false" ht="13.8" hidden="false" customHeight="false" outlineLevel="0" collapsed="false">
      <c r="A40" s="49"/>
      <c r="B40" s="50" t="s">
        <v>20</v>
      </c>
      <c r="C40" s="61" t="s">
        <v>113</v>
      </c>
      <c r="D40" s="26" t="n">
        <v>2</v>
      </c>
      <c r="E40" s="26" t="n">
        <v>2</v>
      </c>
      <c r="F40" s="54" t="n">
        <f aca="false">E40/E41</f>
        <v>0.666666666666667</v>
      </c>
      <c r="G40" s="16"/>
    </row>
    <row r="41" customFormat="false" ht="13.8" hidden="false" customHeight="false" outlineLevel="0" collapsed="false">
      <c r="A41" s="49"/>
      <c r="B41" s="56" t="s">
        <v>114</v>
      </c>
      <c r="C41" s="61" t="s">
        <v>113</v>
      </c>
      <c r="D41" s="57" t="n">
        <f aca="false">SUM(D35:D40)</f>
        <v>3</v>
      </c>
      <c r="E41" s="57" t="n">
        <f aca="false">SUM(E35:E40)</f>
        <v>3</v>
      </c>
      <c r="F41" s="54" t="n">
        <f aca="false">SUM(F35:F40)</f>
        <v>1</v>
      </c>
      <c r="G41" s="16"/>
    </row>
    <row r="42" customFormat="false" ht="13.8" hidden="false" customHeight="false" outlineLevel="0" collapsed="false">
      <c r="A42" s="16"/>
      <c r="B42" s="63" t="s">
        <v>116</v>
      </c>
      <c r="C42" s="61" t="s">
        <v>113</v>
      </c>
      <c r="D42" s="26"/>
      <c r="E42" s="26"/>
      <c r="F42" s="54"/>
      <c r="G42" s="16"/>
    </row>
    <row r="43" customFormat="false" ht="13.8" hidden="false" customHeight="false" outlineLevel="0" collapsed="false">
      <c r="A43" s="16"/>
      <c r="B43" s="16"/>
      <c r="C43" s="16"/>
      <c r="D43" s="16"/>
      <c r="E43" s="16"/>
      <c r="F43" s="16"/>
      <c r="G43" s="16"/>
    </row>
  </sheetData>
  <mergeCells count="8">
    <mergeCell ref="A1:G1"/>
    <mergeCell ref="C3:F3"/>
    <mergeCell ref="C5:F5"/>
    <mergeCell ref="A7:B7"/>
    <mergeCell ref="A10:E10"/>
    <mergeCell ref="A14:B14"/>
    <mergeCell ref="A26:B26"/>
    <mergeCell ref="A34:B34"/>
  </mergeCells>
  <conditionalFormatting sqref="C22">
    <cfRule type="cellIs" priority="2" operator="notEqual" aboveAverage="0" equalAverage="0" bottom="0" percent="0" rank="0" text="" dxfId="1">
      <formula>$C$23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40625" defaultRowHeight="12.75" customHeight="false" zeroHeight="false" outlineLevelRow="0" outlineLevelCol="0"/>
  <cols>
    <col collapsed="false" customWidth="true" hidden="false" outlineLevel="0" max="1" min="1" style="64" width="10.14"/>
    <col collapsed="false" customWidth="true" hidden="false" outlineLevel="0" max="2" min="2" style="64" width="15.14"/>
    <col collapsed="false" customWidth="true" hidden="false" outlineLevel="0" max="3" min="3" style="64" width="60.29"/>
    <col collapsed="false" customWidth="true" hidden="false" outlineLevel="0" max="4" min="4" style="64" width="2.29"/>
    <col collapsed="false" customWidth="true" hidden="false" outlineLevel="0" max="5" min="5" style="64" width="12.85"/>
    <col collapsed="false" customWidth="true" hidden="false" outlineLevel="0" max="6" min="6" style="64" width="44.71"/>
    <col collapsed="false" customWidth="false" hidden="false" outlineLevel="0" max="16384" min="7" style="64" width="9.14"/>
  </cols>
  <sheetData>
    <row r="1" customFormat="false" ht="12.75" hidden="false" customHeight="false" outlineLevel="0" collapsed="false">
      <c r="A1" s="65" t="s">
        <v>117</v>
      </c>
      <c r="B1" s="65"/>
      <c r="C1" s="65"/>
      <c r="D1" s="66"/>
    </row>
    <row r="2" customFormat="false" ht="12.75" hidden="false" customHeight="false" outlineLevel="0" collapsed="false">
      <c r="A2" s="67" t="s">
        <v>41</v>
      </c>
      <c r="B2" s="68" t="n">
        <v>1</v>
      </c>
      <c r="C2" s="66"/>
      <c r="D2" s="66"/>
    </row>
    <row r="3" customFormat="false" ht="12.75" hidden="false" customHeight="false" outlineLevel="0" collapsed="false">
      <c r="A3" s="67" t="s">
        <v>43</v>
      </c>
      <c r="B3" s="69" t="s">
        <v>44</v>
      </c>
      <c r="C3" s="69"/>
      <c r="D3" s="66"/>
    </row>
    <row r="4" customFormat="false" ht="12.75" hidden="false" customHeight="false" outlineLevel="0" collapsed="false">
      <c r="A4" s="67" t="s">
        <v>42</v>
      </c>
      <c r="B4" s="70" t="n">
        <v>46131</v>
      </c>
      <c r="C4" s="66"/>
      <c r="D4" s="66"/>
    </row>
    <row r="5" customFormat="false" ht="12.75" hidden="false" customHeight="false" outlineLevel="0" collapsed="false">
      <c r="A5" s="71"/>
      <c r="B5" s="66"/>
      <c r="C5" s="72"/>
      <c r="D5" s="66"/>
    </row>
    <row r="6" customFormat="false" ht="24" hidden="false" customHeight="true" outlineLevel="0" collapsed="false">
      <c r="A6" s="73" t="s">
        <v>118</v>
      </c>
      <c r="B6" s="73" t="s">
        <v>119</v>
      </c>
      <c r="C6" s="74" t="s">
        <v>120</v>
      </c>
      <c r="D6" s="66"/>
    </row>
    <row r="7" customFormat="false" ht="12.75" hidden="false" customHeight="false" outlineLevel="0" collapsed="false">
      <c r="A7" s="69" t="n">
        <v>10</v>
      </c>
      <c r="B7" s="69" t="s">
        <v>121</v>
      </c>
      <c r="C7" s="75" t="s">
        <v>122</v>
      </c>
      <c r="D7" s="66"/>
      <c r="E7" s="76"/>
      <c r="F7" s="76"/>
    </row>
    <row r="8" customFormat="false" ht="12.75" hidden="false" customHeight="false" outlineLevel="0" collapsed="false">
      <c r="A8" s="69" t="n">
        <v>20</v>
      </c>
      <c r="B8" s="69" t="s">
        <v>123</v>
      </c>
      <c r="C8" s="75" t="s">
        <v>124</v>
      </c>
      <c r="D8" s="66"/>
      <c r="E8" s="76"/>
      <c r="F8" s="76"/>
    </row>
    <row r="9" customFormat="false" ht="12.75" hidden="false" customHeight="false" outlineLevel="0" collapsed="false">
      <c r="A9" s="69" t="n">
        <v>30</v>
      </c>
      <c r="B9" s="69" t="s">
        <v>125</v>
      </c>
      <c r="C9" s="75" t="s">
        <v>126</v>
      </c>
      <c r="D9" s="66"/>
      <c r="E9" s="76"/>
      <c r="F9" s="76"/>
    </row>
    <row r="10" customFormat="false" ht="12.75" hidden="false" customHeight="false" outlineLevel="0" collapsed="false">
      <c r="A10" s="69" t="n">
        <v>40</v>
      </c>
      <c r="B10" s="69" t="s">
        <v>127</v>
      </c>
      <c r="C10" s="75" t="s">
        <v>128</v>
      </c>
      <c r="D10" s="66"/>
      <c r="E10" s="76"/>
      <c r="F10" s="76"/>
    </row>
    <row r="11" customFormat="false" ht="12.75" hidden="false" customHeight="false" outlineLevel="0" collapsed="false">
      <c r="A11" s="69" t="n">
        <v>50</v>
      </c>
      <c r="B11" s="69" t="s">
        <v>129</v>
      </c>
      <c r="C11" s="75" t="s">
        <v>130</v>
      </c>
      <c r="D11" s="66"/>
      <c r="E11" s="76"/>
      <c r="F11" s="76"/>
    </row>
    <row r="12" customFormat="false" ht="12.75" hidden="false" customHeight="false" outlineLevel="0" collapsed="false">
      <c r="A12" s="69" t="n">
        <v>60</v>
      </c>
      <c r="B12" s="69" t="s">
        <v>131</v>
      </c>
      <c r="C12" s="75" t="s">
        <v>132</v>
      </c>
      <c r="D12" s="66"/>
      <c r="E12" s="76"/>
      <c r="F12" s="76"/>
    </row>
    <row r="13" customFormat="false" ht="12.75" hidden="false" customHeight="false" outlineLevel="0" collapsed="false">
      <c r="A13" s="69" t="n">
        <v>70</v>
      </c>
      <c r="B13" s="69" t="s">
        <v>133</v>
      </c>
      <c r="C13" s="75" t="s">
        <v>134</v>
      </c>
      <c r="D13" s="66"/>
      <c r="E13" s="76"/>
      <c r="F13" s="76"/>
    </row>
    <row r="14" customFormat="false" ht="12.75" hidden="false" customHeight="false" outlineLevel="0" collapsed="false">
      <c r="A14" s="69" t="n">
        <v>80</v>
      </c>
      <c r="B14" s="69" t="s">
        <v>135</v>
      </c>
      <c r="C14" s="75" t="s">
        <v>136</v>
      </c>
      <c r="D14" s="66"/>
      <c r="E14" s="76"/>
      <c r="F14" s="76"/>
    </row>
    <row r="15" customFormat="false" ht="12.75" hidden="false" customHeight="false" outlineLevel="0" collapsed="false">
      <c r="A15" s="69" t="n">
        <v>90</v>
      </c>
      <c r="B15" s="69" t="s">
        <v>137</v>
      </c>
      <c r="C15" s="75" t="s">
        <v>138</v>
      </c>
      <c r="D15" s="66"/>
      <c r="E15" s="76"/>
      <c r="F15" s="76"/>
    </row>
    <row r="16" customFormat="false" ht="12.75" hidden="false" customHeight="false" outlineLevel="0" collapsed="false">
      <c r="A16" s="69" t="n">
        <v>100</v>
      </c>
      <c r="B16" s="69" t="s">
        <v>139</v>
      </c>
      <c r="C16" s="75" t="s">
        <v>140</v>
      </c>
      <c r="D16" s="66"/>
      <c r="E16" s="76"/>
      <c r="F16" s="76"/>
    </row>
    <row r="17" customFormat="false" ht="12.75" hidden="false" customHeight="false" outlineLevel="0" collapsed="false">
      <c r="A17" s="66"/>
      <c r="B17" s="66"/>
      <c r="C17" s="77"/>
      <c r="D17" s="66"/>
    </row>
  </sheetData>
  <mergeCells count="2">
    <mergeCell ref="A1:C1"/>
    <mergeCell ref="B3:C3"/>
  </mergeCell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40625" defaultRowHeight="12.75" customHeight="false" zeroHeight="false" outlineLevelRow="0" outlineLevelCol="0"/>
  <cols>
    <col collapsed="false" customWidth="true" hidden="false" outlineLevel="0" max="1" min="1" style="64" width="10.14"/>
    <col collapsed="false" customWidth="true" hidden="false" outlineLevel="0" max="2" min="2" style="64" width="10"/>
    <col collapsed="false" customWidth="true" hidden="false" outlineLevel="0" max="3" min="3" style="64" width="8.42"/>
    <col collapsed="false" customWidth="true" hidden="false" outlineLevel="0" max="4" min="4" style="64" width="10.29"/>
    <col collapsed="false" customWidth="true" hidden="false" outlineLevel="0" max="5" min="5" style="64" width="10"/>
    <col collapsed="false" customWidth="false" hidden="false" outlineLevel="0" max="6" min="6" style="64" width="9.14"/>
    <col collapsed="false" customWidth="true" hidden="false" outlineLevel="0" max="7" min="7" style="64" width="8.57"/>
    <col collapsed="false" customWidth="true" hidden="false" outlineLevel="0" max="8" min="8" style="64" width="74.57"/>
    <col collapsed="false" customWidth="false" hidden="false" outlineLevel="0" max="9" min="9" style="64" width="9.14"/>
    <col collapsed="false" customWidth="true" hidden="false" outlineLevel="0" max="10" min="10" style="64" width="15.57"/>
    <col collapsed="false" customWidth="true" hidden="false" outlineLevel="0" max="11" min="11" style="64" width="11.14"/>
    <col collapsed="false" customWidth="false" hidden="false" outlineLevel="0" max="16384" min="12" style="64" width="9.14"/>
  </cols>
  <sheetData>
    <row r="1" customFormat="false" ht="12.75" hidden="false" customHeight="false" outlineLevel="0" collapsed="false">
      <c r="A1" s="67" t="s">
        <v>41</v>
      </c>
      <c r="B1" s="68" t="n">
        <v>1</v>
      </c>
      <c r="C1" s="66"/>
      <c r="D1" s="66"/>
      <c r="E1" s="67"/>
      <c r="F1" s="66"/>
      <c r="G1" s="66"/>
      <c r="H1" s="66"/>
    </row>
    <row r="2" customFormat="false" ht="12.75" hidden="false" customHeight="false" outlineLevel="0" collapsed="false">
      <c r="A2" s="67" t="s">
        <v>43</v>
      </c>
      <c r="B2" s="69" t="s">
        <v>44</v>
      </c>
      <c r="C2" s="69"/>
      <c r="D2" s="69"/>
      <c r="E2" s="69"/>
      <c r="F2" s="69"/>
      <c r="G2" s="69"/>
      <c r="H2" s="66"/>
    </row>
    <row r="3" customFormat="false" ht="12.75" hidden="false" customHeight="false" outlineLevel="0" collapsed="false">
      <c r="A3" s="67" t="s">
        <v>42</v>
      </c>
      <c r="B3" s="70" t="n">
        <v>46131</v>
      </c>
      <c r="C3" s="66"/>
      <c r="D3" s="66"/>
      <c r="E3" s="66"/>
      <c r="F3" s="67" t="s">
        <v>89</v>
      </c>
      <c r="G3" s="78"/>
      <c r="H3" s="66"/>
    </row>
    <row r="4" customFormat="false" ht="12.75" hidden="false" customHeight="false" outlineLevel="0" collapsed="false">
      <c r="A4" s="66"/>
      <c r="B4" s="66"/>
      <c r="C4" s="66"/>
      <c r="D4" s="66"/>
      <c r="E4" s="66"/>
      <c r="F4" s="66"/>
      <c r="G4" s="66"/>
      <c r="H4" s="66"/>
    </row>
    <row r="5" customFormat="false" ht="24.75" hidden="false" customHeight="true" outlineLevel="0" collapsed="false">
      <c r="A5" s="73" t="s">
        <v>141</v>
      </c>
      <c r="B5" s="73" t="s">
        <v>142</v>
      </c>
      <c r="C5" s="73" t="s">
        <v>143</v>
      </c>
      <c r="D5" s="73" t="s">
        <v>144</v>
      </c>
      <c r="E5" s="73" t="s">
        <v>145</v>
      </c>
      <c r="F5" s="73" t="s">
        <v>146</v>
      </c>
      <c r="G5" s="73" t="s">
        <v>147</v>
      </c>
      <c r="H5" s="73" t="s">
        <v>148</v>
      </c>
      <c r="J5" s="79"/>
    </row>
    <row r="6" customFormat="false" ht="12.75" hidden="false" customHeight="false" outlineLevel="0" collapsed="false">
      <c r="A6" s="80"/>
      <c r="B6" s="81"/>
      <c r="C6" s="81"/>
      <c r="D6" s="81"/>
      <c r="E6" s="81"/>
      <c r="F6" s="81"/>
      <c r="G6" s="81"/>
      <c r="H6" s="82"/>
      <c r="K6" s="83"/>
    </row>
    <row r="7" customFormat="false" ht="12.75" hidden="false" customHeight="false" outlineLevel="0" collapsed="false">
      <c r="A7" s="81"/>
      <c r="B7" s="81"/>
      <c r="C7" s="81"/>
      <c r="D7" s="81"/>
      <c r="E7" s="81"/>
      <c r="F7" s="81"/>
      <c r="G7" s="81"/>
      <c r="H7" s="84"/>
      <c r="K7" s="83"/>
    </row>
    <row r="8" customFormat="false" ht="12.75" hidden="false" customHeight="false" outlineLevel="0" collapsed="false">
      <c r="A8" s="81"/>
      <c r="B8" s="81"/>
      <c r="C8" s="81"/>
      <c r="D8" s="81"/>
      <c r="E8" s="81"/>
      <c r="F8" s="81"/>
      <c r="G8" s="81"/>
      <c r="H8" s="84"/>
      <c r="K8" s="83"/>
    </row>
    <row r="9" customFormat="false" ht="12.75" hidden="false" customHeight="false" outlineLevel="0" collapsed="false">
      <c r="A9" s="81"/>
      <c r="B9" s="81"/>
      <c r="C9" s="81"/>
      <c r="D9" s="81"/>
      <c r="E9" s="81"/>
      <c r="F9" s="81"/>
      <c r="G9" s="81"/>
      <c r="H9" s="84"/>
      <c r="K9" s="83"/>
    </row>
    <row r="10" customFormat="false" ht="12.75" hidden="false" customHeight="false" outlineLevel="0" collapsed="false">
      <c r="A10" s="81"/>
      <c r="B10" s="81"/>
      <c r="C10" s="81"/>
      <c r="D10" s="81"/>
      <c r="E10" s="81"/>
      <c r="F10" s="81"/>
      <c r="G10" s="81"/>
      <c r="H10" s="84"/>
      <c r="K10" s="83"/>
    </row>
    <row r="11" customFormat="false" ht="12.75" hidden="false" customHeight="false" outlineLevel="0" collapsed="false">
      <c r="A11" s="81"/>
      <c r="B11" s="81"/>
      <c r="C11" s="81"/>
      <c r="D11" s="81"/>
      <c r="E11" s="81"/>
      <c r="F11" s="81"/>
      <c r="G11" s="81"/>
      <c r="H11" s="84"/>
      <c r="K11" s="83"/>
    </row>
    <row r="12" customFormat="false" ht="12.75" hidden="false" customHeight="false" outlineLevel="0" collapsed="false">
      <c r="A12" s="81"/>
      <c r="B12" s="81"/>
      <c r="C12" s="81"/>
      <c r="D12" s="81"/>
      <c r="E12" s="81"/>
      <c r="F12" s="81"/>
      <c r="G12" s="81"/>
      <c r="H12" s="84"/>
    </row>
    <row r="13" customFormat="false" ht="12.75" hidden="false" customHeight="false" outlineLevel="0" collapsed="false">
      <c r="A13" s="81"/>
      <c r="B13" s="81"/>
      <c r="C13" s="81"/>
      <c r="D13" s="81"/>
      <c r="E13" s="81"/>
      <c r="F13" s="81"/>
      <c r="G13" s="81"/>
      <c r="H13" s="84"/>
    </row>
    <row r="14" customFormat="false" ht="12.75" hidden="false" customHeight="false" outlineLevel="0" collapsed="false">
      <c r="A14" s="81"/>
      <c r="B14" s="81"/>
      <c r="C14" s="81"/>
      <c r="D14" s="81"/>
      <c r="E14" s="81"/>
      <c r="F14" s="81"/>
      <c r="G14" s="81"/>
      <c r="H14" s="84"/>
    </row>
    <row r="15" customFormat="false" ht="12.75" hidden="false" customHeight="false" outlineLevel="0" collapsed="false">
      <c r="A15" s="81"/>
      <c r="B15" s="81"/>
      <c r="C15" s="81"/>
      <c r="D15" s="81"/>
      <c r="E15" s="81"/>
      <c r="F15" s="81"/>
      <c r="G15" s="81"/>
      <c r="H15" s="84"/>
    </row>
    <row r="16" customFormat="false" ht="12.75" hidden="false" customHeight="false" outlineLevel="0" collapsed="false">
      <c r="A16" s="81"/>
      <c r="B16" s="81"/>
      <c r="C16" s="81"/>
      <c r="D16" s="81"/>
      <c r="E16" s="81"/>
      <c r="F16" s="81"/>
      <c r="G16" s="81"/>
      <c r="H16" s="84"/>
    </row>
    <row r="17" customFormat="false" ht="12.75" hidden="false" customHeight="false" outlineLevel="0" collapsed="false">
      <c r="A17" s="81"/>
      <c r="B17" s="81"/>
      <c r="C17" s="81"/>
      <c r="D17" s="81"/>
      <c r="E17" s="81"/>
      <c r="F17" s="81"/>
      <c r="G17" s="81"/>
      <c r="H17" s="84"/>
    </row>
    <row r="18" customFormat="false" ht="12.75" hidden="false" customHeight="false" outlineLevel="0" collapsed="false">
      <c r="A18" s="81"/>
      <c r="B18" s="81"/>
      <c r="C18" s="81"/>
      <c r="D18" s="81"/>
      <c r="E18" s="81"/>
      <c r="F18" s="81"/>
      <c r="G18" s="81"/>
      <c r="H18" s="84"/>
    </row>
    <row r="19" customFormat="false" ht="12.75" hidden="false" customHeight="false" outlineLevel="0" collapsed="false">
      <c r="A19" s="81"/>
      <c r="B19" s="81"/>
      <c r="C19" s="81"/>
      <c r="D19" s="81"/>
      <c r="E19" s="81"/>
      <c r="F19" s="81"/>
      <c r="G19" s="81"/>
      <c r="H19" s="84"/>
    </row>
    <row r="20" customFormat="false" ht="12.75" hidden="false" customHeight="false" outlineLevel="0" collapsed="false">
      <c r="A20" s="81"/>
      <c r="B20" s="81"/>
      <c r="C20" s="81"/>
      <c r="D20" s="81"/>
      <c r="E20" s="81"/>
      <c r="F20" s="81"/>
      <c r="G20" s="81"/>
      <c r="H20" s="84"/>
    </row>
    <row r="21" customFormat="false" ht="12.75" hidden="false" customHeight="false" outlineLevel="0" collapsed="false">
      <c r="A21" s="81"/>
      <c r="B21" s="81"/>
      <c r="C21" s="81"/>
      <c r="D21" s="81"/>
      <c r="E21" s="81"/>
      <c r="F21" s="81"/>
      <c r="G21" s="81"/>
      <c r="H21" s="84"/>
    </row>
    <row r="22" customFormat="false" ht="12.75" hidden="false" customHeight="false" outlineLevel="0" collapsed="false">
      <c r="A22" s="81"/>
      <c r="B22" s="81"/>
      <c r="C22" s="81"/>
      <c r="D22" s="81"/>
      <c r="E22" s="81"/>
      <c r="F22" s="81"/>
      <c r="G22" s="81"/>
      <c r="H22" s="84"/>
    </row>
    <row r="23" customFormat="false" ht="12.75" hidden="false" customHeight="false" outlineLevel="0" collapsed="false">
      <c r="A23" s="81"/>
      <c r="B23" s="81"/>
      <c r="C23" s="81"/>
      <c r="D23" s="81"/>
      <c r="E23" s="81"/>
      <c r="F23" s="81"/>
      <c r="G23" s="81"/>
      <c r="H23" s="84"/>
    </row>
    <row r="24" customFormat="false" ht="12.75" hidden="false" customHeight="false" outlineLevel="0" collapsed="false">
      <c r="A24" s="81"/>
      <c r="B24" s="81"/>
      <c r="C24" s="81"/>
      <c r="D24" s="81"/>
      <c r="E24" s="81"/>
      <c r="F24" s="81"/>
      <c r="G24" s="81"/>
      <c r="H24" s="84"/>
    </row>
    <row r="25" customFormat="false" ht="12.75" hidden="false" customHeight="false" outlineLevel="0" collapsed="false">
      <c r="A25" s="81"/>
      <c r="B25" s="81"/>
      <c r="C25" s="81"/>
      <c r="D25" s="81"/>
      <c r="E25" s="81"/>
      <c r="F25" s="81"/>
      <c r="G25" s="81"/>
      <c r="H25" s="84"/>
    </row>
    <row r="26" customFormat="false" ht="12.75" hidden="false" customHeight="false" outlineLevel="0" collapsed="false">
      <c r="A26" s="81"/>
      <c r="B26" s="81"/>
      <c r="C26" s="81"/>
      <c r="D26" s="81"/>
      <c r="E26" s="81"/>
      <c r="F26" s="81"/>
      <c r="G26" s="81"/>
      <c r="H26" s="84"/>
    </row>
    <row r="27" customFormat="false" ht="12.75" hidden="false" customHeight="false" outlineLevel="0" collapsed="false">
      <c r="A27" s="81"/>
      <c r="B27" s="81"/>
      <c r="C27" s="81"/>
      <c r="D27" s="81"/>
      <c r="E27" s="81"/>
      <c r="F27" s="81"/>
      <c r="G27" s="81"/>
      <c r="H27" s="84"/>
    </row>
    <row r="28" customFormat="false" ht="12.75" hidden="false" customHeight="false" outlineLevel="0" collapsed="false">
      <c r="A28" s="81"/>
      <c r="B28" s="81"/>
      <c r="C28" s="81"/>
      <c r="D28" s="81"/>
      <c r="E28" s="81"/>
      <c r="F28" s="81"/>
      <c r="G28" s="81"/>
      <c r="H28" s="84"/>
    </row>
    <row r="29" customFormat="false" ht="12.75" hidden="false" customHeight="false" outlineLevel="0" collapsed="false">
      <c r="A29" s="81"/>
      <c r="B29" s="81"/>
      <c r="C29" s="81"/>
      <c r="D29" s="81"/>
      <c r="E29" s="81"/>
      <c r="F29" s="81"/>
      <c r="G29" s="81"/>
      <c r="H29" s="84"/>
    </row>
    <row r="30" customFormat="false" ht="12.75" hidden="false" customHeight="false" outlineLevel="0" collapsed="false">
      <c r="A30" s="81"/>
      <c r="B30" s="81"/>
      <c r="C30" s="81"/>
      <c r="D30" s="81"/>
      <c r="E30" s="81"/>
      <c r="F30" s="81"/>
      <c r="G30" s="81"/>
      <c r="H30" s="84"/>
    </row>
    <row r="31" customFormat="false" ht="12.75" hidden="false" customHeight="false" outlineLevel="0" collapsed="false">
      <c r="A31" s="80"/>
      <c r="B31" s="69"/>
      <c r="C31" s="69"/>
      <c r="D31" s="81"/>
      <c r="E31" s="81"/>
      <c r="F31" s="81"/>
      <c r="G31" s="81"/>
      <c r="H31" s="84"/>
    </row>
    <row r="32" customFormat="false" ht="12.75" hidden="false" customHeight="false" outlineLevel="0" collapsed="false">
      <c r="A32" s="80"/>
      <c r="B32" s="81"/>
      <c r="C32" s="69"/>
      <c r="D32" s="81"/>
      <c r="E32" s="81"/>
      <c r="F32" s="81"/>
      <c r="G32" s="81"/>
      <c r="H32" s="84"/>
    </row>
    <row r="33" customFormat="false" ht="12.75" hidden="false" customHeight="false" outlineLevel="0" collapsed="false">
      <c r="A33" s="80"/>
      <c r="B33" s="81"/>
      <c r="C33" s="69"/>
      <c r="D33" s="81"/>
      <c r="E33" s="81"/>
      <c r="F33" s="81"/>
      <c r="G33" s="81"/>
      <c r="H33" s="84"/>
    </row>
    <row r="34" customFormat="false" ht="12.75" hidden="false" customHeight="false" outlineLevel="0" collapsed="false">
      <c r="A34" s="80"/>
      <c r="B34" s="81"/>
      <c r="C34" s="69"/>
      <c r="D34" s="81"/>
      <c r="E34" s="81"/>
      <c r="F34" s="81"/>
      <c r="G34" s="81"/>
      <c r="H34" s="84"/>
    </row>
  </sheetData>
  <mergeCells count="1">
    <mergeCell ref="B2:G2"/>
  </mergeCells>
  <dataValidations count="1">
    <dataValidation allowBlank="true" error="Fazę reikia pasirinkti!" errorStyle="stop" errorTitle="Klaida" operator="between" prompt="fazę" promptTitle="Pasirinkite" showDropDown="false" showErrorMessage="true" showInputMessage="true" sqref="D6:E30 IZ6:JA34 SV6:SW34 ACR6:ACS34 AMN6:AMO34 AWJ6:AWK34 BGF6:BGG34 BQB6:BQC34 BZX6:BZY34 CJT6:CJU34 CTP6:CTQ34 DDL6:DDM34 DNH6:DNI34 DXD6:DXE34 EGZ6:EHA34 EQV6:EQW34 FAR6:FAS34 FKN6:FKO34 FUJ6:FUK34 GEF6:GEG34 GOB6:GOC34 GXX6:GXY34 HHT6:HHU34 HRP6:HRQ34 IBL6:IBM34 ILH6:ILI34 IVD6:IVE34 JEZ6:JFA34 JOV6:JOW34 JYR6:JYS34 KIN6:KIO34 KSJ6:KSK34 LCF6:LCG34 LMB6:LMC34 LVX6:LVY34 MFT6:MFU34 MPP6:MPQ34 MZL6:MZM34 NJH6:NJI34 NTD6:NTE34 OCZ6:ODA34 OMV6:OMW34 OWR6:OWS34 PGN6:PGO34 PQJ6:PQK34 QAF6:QAG34 QKB6:QKC34 QTX6:QTY34 RDT6:RDU34 RNP6:RNQ34 RXL6:RXM34 SHH6:SHI34 SRD6:SRE34 TAZ6:TBA34 TKV6:TKW34 TUR6:TUS34 UEN6:UEO34 UOJ6:UOK34 UYF6:UYG34 VIB6:VIC34 VRX6:VRY34 WBT6:WBU34 WLP6:WLQ34 WVL6:WVM34" type="list">
      <formula1>$J$6:$J$11</formula1>
      <formula2>0</formula2>
    </dataValidation>
  </dataValidations>
  <printOptions headings="false" gridLines="false" gridLinesSet="true" horizontalCentered="false" verticalCentered="false"/>
  <pageMargins left="0.551388888888889" right="0.551388888888889" top="0.984027777777778" bottom="0.984027777777778" header="0.511811023622047" footer="0.511811023622047"/>
  <pageSetup paperSize="9" scale="100" fitToWidth="1" fitToHeight="5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2026-03-14T19:20:36Z</dcterms:created>
  <dc:creator>Apache POI</dc:creator>
  <dc:description/>
  <dc:language>en-US</dc:language>
  <cp:lastModifiedBy/>
  <dcterms:modified xsi:type="dcterms:W3CDTF">2026-04-20T17:59:13Z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